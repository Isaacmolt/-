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Net Worth" sheetId="3" state="visible" r:id="rId3"/>
    <sheet name="Investments" sheetId="4" state="visible" r:id="rId4"/>
    <sheet name="Goals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FFFFFF"/>
      <sz val="13"/>
    </font>
    <font>
      <name val="Calibri"/>
      <b val="1"/>
      <color rgb="00CC4444"/>
      <sz val="11"/>
    </font>
    <font>
      <name val="Calibri"/>
      <b val="1"/>
      <color rgb="002D5F2D"/>
      <sz val="14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3"/>
    </font>
  </fonts>
  <fills count="8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  <fill>
      <patternFill patternType="solid">
        <fgColor rgb="00CC4444"/>
        <bgColor rgb="00CC4444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8" fillId="2" borderId="1" applyAlignment="1" pivotButton="0" quotePrefix="0" xfId="0">
      <alignment horizontal="center" vertical="center"/>
    </xf>
    <xf numFmtId="4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7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b val="1"/>
        <color rgb="00CC4444"/>
      </font>
      <fill>
        <patternFill patternType="solid">
          <fgColor rgb="00FFE0E0"/>
          <bgColor rgb="00FFE0E0"/>
        </patternFill>
      </fill>
    </dxf>
    <dxf>
      <font>
        <color rgb="00CC4444"/>
      </font>
      <fill>
        <patternFill patternType="solid">
          <fgColor rgb="00FFE0E0"/>
          <bgColor rgb="00FFE0E0"/>
        </patternFill>
      </fill>
    </dxf>
    <dxf>
      <font>
        <color rgb="002D5F2D"/>
      </font>
      <fill>
        <patternFill patternType="solid">
          <fgColor rgb="00E8F0E8"/>
          <bgColor rgb="00E8F0E8"/>
        </patternFill>
      </fill>
    </dxf>
    <dxf>
      <font>
        <b val="1"/>
        <color rgb="002D5F2D"/>
      </font>
      <fill>
        <patternFill patternType="solid">
          <fgColor rgb="00E8F0E8"/>
          <bgColor rgb="00E8F0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Summary'!$B$4:$B$15</f>
            </numRef>
          </val>
        </ser>
        <ser>
          <idx val="1"/>
          <order val="1"/>
          <tx>
            <strRef>
              <f>'Monthly Summary'!E3</f>
            </strRef>
          </tx>
          <spPr>
            <a:ln>
              <a:prstDash val="solid"/>
            </a:ln>
          </spPr>
          <cat>
            <numRef>
              <f>'Monthly Summary'!$A$4:$A$15</f>
            </numRef>
          </cat>
          <val>
            <numRef>
              <f>'Monthly Summary'!$E$4:$E$15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Asset Allocation</a:t>
            </a:r>
          </a:p>
        </rich>
      </tx>
    </title>
    <plotArea>
      <pieChart>
        <varyColors val="1"/>
        <ser>
          <idx val="0"/>
          <order val="0"/>
          <tx>
            <strRef>
              <f>'Net Worth'!C3</f>
            </strRef>
          </tx>
          <spPr>
            <a:ln>
              <a:prstDash val="solid"/>
            </a:ln>
          </spPr>
          <cat>
            <numRef>
              <f>'Net Worth'!$A$4:$A$11</f>
            </numRef>
          </cat>
          <val>
            <numRef>
              <f>'Net Worth'!$C$4:$C$11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Portfolio Allocation</a:t>
            </a:r>
          </a:p>
        </rich>
      </tx>
    </title>
    <plotArea>
      <pieChart>
        <varyColors val="1"/>
        <ser>
          <idx val="0"/>
          <order val="0"/>
          <tx>
            <strRef>
              <f>'Investments'!F3</f>
            </strRef>
          </tx>
          <spPr>
            <a:ln>
              <a:prstDash val="solid"/>
            </a:ln>
          </spPr>
          <cat>
            <numRef>
              <f>'Investments'!$A$4:$A$10</f>
            </numRef>
          </cat>
          <val>
            <numRef>
              <f>'Investments'!$F$4:$F$10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FINANCIAL OVERVIEW 2026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Total Income</t>
        </is>
      </c>
      <c r="B3" s="2" t="n"/>
      <c r="C3" s="3" t="inlineStr">
        <is>
          <t>Total Expenses</t>
        </is>
      </c>
      <c r="D3" s="2" t="n"/>
      <c r="E3" s="3" t="inlineStr">
        <is>
          <t>Total Savings</t>
        </is>
      </c>
      <c r="F3" s="2" t="n"/>
      <c r="G3" s="3" t="inlineStr">
        <is>
          <t>Savings Rate</t>
        </is>
      </c>
      <c r="H3" s="2" t="n"/>
    </row>
    <row r="4">
      <c r="A4" s="4">
        <f>'Monthly Summary'!B16</f>
        <v/>
      </c>
      <c r="B4" s="5" t="n"/>
      <c r="C4" s="4">
        <f>'Monthly Summary'!E16</f>
        <v/>
      </c>
      <c r="D4" s="5" t="n"/>
      <c r="E4" s="4">
        <f>'Monthly Summary'!F16</f>
        <v/>
      </c>
      <c r="F4" s="5" t="n"/>
      <c r="G4" s="6">
        <f>IF(B4&gt;0,D4/B4,0)</f>
        <v/>
      </c>
      <c r="H4" s="5" t="n"/>
    </row>
    <row r="6">
      <c r="A6" s="7" t="inlineStr">
        <is>
          <t>Net Worth</t>
        </is>
      </c>
      <c r="B6" s="8">
        <f>'Net Worth'!C20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MONTHLY FINANCIAL SUMMARY 2026</t>
        </is>
      </c>
      <c r="B1" s="2" t="n"/>
      <c r="C1" s="2" t="n"/>
      <c r="D1" s="2" t="n"/>
      <c r="E1" s="2" t="n"/>
      <c r="F1" s="2" t="n"/>
      <c r="G1" s="2" t="n"/>
    </row>
    <row r="3">
      <c r="A3" s="9" t="inlineStr">
        <is>
          <t>Month</t>
        </is>
      </c>
      <c r="B3" s="9" t="inlineStr">
        <is>
          <t>Income</t>
        </is>
      </c>
      <c r="C3" s="9" t="inlineStr">
        <is>
          <t>Fixed Expenses</t>
        </is>
      </c>
      <c r="D3" s="9" t="inlineStr">
        <is>
          <t>Variable Expenses</t>
        </is>
      </c>
      <c r="E3" s="9" t="inlineStr">
        <is>
          <t>Total Expenses</t>
        </is>
      </c>
      <c r="F3" s="9" t="inlineStr">
        <is>
          <t>Savings</t>
        </is>
      </c>
      <c r="G3" s="9" t="inlineStr">
        <is>
          <t>Net</t>
        </is>
      </c>
    </row>
    <row r="4">
      <c r="A4" s="10" t="inlineStr">
        <is>
          <t>January</t>
        </is>
      </c>
      <c r="B4" s="11" t="n">
        <v>5000</v>
      </c>
      <c r="C4" s="11" t="n">
        <v>2200</v>
      </c>
      <c r="D4" s="11" t="n">
        <v>1200</v>
      </c>
      <c r="E4" s="11">
        <f>C4+D4</f>
        <v/>
      </c>
      <c r="F4" s="11">
        <f>B4-E4</f>
        <v/>
      </c>
      <c r="G4" s="12">
        <f>IF(B4&gt;0,F4/B4,0)</f>
        <v/>
      </c>
    </row>
    <row r="5">
      <c r="A5" s="13" t="inlineStr">
        <is>
          <t>February</t>
        </is>
      </c>
      <c r="B5" s="14" t="n">
        <v>5000</v>
      </c>
      <c r="C5" s="14" t="n">
        <v>2200</v>
      </c>
      <c r="D5" s="14" t="n">
        <v>1100</v>
      </c>
      <c r="E5" s="14">
        <f>C5+D5</f>
        <v/>
      </c>
      <c r="F5" s="14">
        <f>B5-E5</f>
        <v/>
      </c>
      <c r="G5" s="15">
        <f>IF(B5&gt;0,F5/B5,0)</f>
        <v/>
      </c>
    </row>
    <row r="6">
      <c r="A6" s="10" t="inlineStr">
        <is>
          <t>March</t>
        </is>
      </c>
      <c r="B6" s="11" t="n">
        <v>5200</v>
      </c>
      <c r="C6" s="11" t="n">
        <v>2200</v>
      </c>
      <c r="D6" s="11" t="n">
        <v>1350</v>
      </c>
      <c r="E6" s="11">
        <f>C6+D6</f>
        <v/>
      </c>
      <c r="F6" s="11">
        <f>B6-E6</f>
        <v/>
      </c>
      <c r="G6" s="12">
        <f>IF(B6&gt;0,F6/B6,0)</f>
        <v/>
      </c>
    </row>
    <row r="7">
      <c r="A7" s="13" t="inlineStr">
        <is>
          <t>April</t>
        </is>
      </c>
      <c r="B7" s="14" t="n">
        <v>5000</v>
      </c>
      <c r="C7" s="14" t="n">
        <v>2200</v>
      </c>
      <c r="D7" s="14" t="n">
        <v>1000</v>
      </c>
      <c r="E7" s="14">
        <f>C7+D7</f>
        <v/>
      </c>
      <c r="F7" s="14">
        <f>B7-E7</f>
        <v/>
      </c>
      <c r="G7" s="15">
        <f>IF(B7&gt;0,F7/B7,0)</f>
        <v/>
      </c>
    </row>
    <row r="8">
      <c r="A8" s="10" t="inlineStr">
        <is>
          <t>May</t>
        </is>
      </c>
      <c r="B8" s="11" t="n">
        <v>5500</v>
      </c>
      <c r="C8" s="11" t="n">
        <v>2200</v>
      </c>
      <c r="D8" s="11" t="n">
        <v>1400</v>
      </c>
      <c r="E8" s="11">
        <f>C8+D8</f>
        <v/>
      </c>
      <c r="F8" s="11">
        <f>B8-E8</f>
        <v/>
      </c>
      <c r="G8" s="12">
        <f>IF(B8&gt;0,F8/B8,0)</f>
        <v/>
      </c>
    </row>
    <row r="9">
      <c r="A9" s="13" t="inlineStr">
        <is>
          <t>June</t>
        </is>
      </c>
      <c r="B9" s="14" t="n">
        <v>5000</v>
      </c>
      <c r="C9" s="14" t="n">
        <v>2200</v>
      </c>
      <c r="D9" s="14" t="n">
        <v>1150</v>
      </c>
      <c r="E9" s="14">
        <f>C9+D9</f>
        <v/>
      </c>
      <c r="F9" s="14">
        <f>B9-E9</f>
        <v/>
      </c>
      <c r="G9" s="15">
        <f>IF(B9&gt;0,F9/B9,0)</f>
        <v/>
      </c>
    </row>
    <row r="10">
      <c r="A10" s="10" t="inlineStr">
        <is>
          <t>July</t>
        </is>
      </c>
      <c r="B10" s="11" t="n">
        <v>5000</v>
      </c>
      <c r="C10" s="11" t="n">
        <v>2200</v>
      </c>
      <c r="D10" s="11" t="n">
        <v>1300</v>
      </c>
      <c r="E10" s="11">
        <f>C10+D10</f>
        <v/>
      </c>
      <c r="F10" s="11">
        <f>B10-E10</f>
        <v/>
      </c>
      <c r="G10" s="12">
        <f>IF(B10&gt;0,F10/B10,0)</f>
        <v/>
      </c>
    </row>
    <row r="11">
      <c r="A11" s="13" t="inlineStr">
        <is>
          <t>August</t>
        </is>
      </c>
      <c r="B11" s="14" t="n">
        <v>5200</v>
      </c>
      <c r="C11" s="14" t="n">
        <v>2200</v>
      </c>
      <c r="D11" s="14" t="n">
        <v>1250</v>
      </c>
      <c r="E11" s="14">
        <f>C11+D11</f>
        <v/>
      </c>
      <c r="F11" s="14">
        <f>B11-E11</f>
        <v/>
      </c>
      <c r="G11" s="15">
        <f>IF(B11&gt;0,F11/B11,0)</f>
        <v/>
      </c>
    </row>
    <row r="12">
      <c r="A12" s="10" t="inlineStr">
        <is>
          <t>September</t>
        </is>
      </c>
      <c r="B12" s="11" t="n">
        <v>5000</v>
      </c>
      <c r="C12" s="11" t="n">
        <v>2200</v>
      </c>
      <c r="D12" s="11" t="n">
        <v>1100</v>
      </c>
      <c r="E12" s="11">
        <f>C12+D12</f>
        <v/>
      </c>
      <c r="F12" s="11">
        <f>B12-E12</f>
        <v/>
      </c>
      <c r="G12" s="12">
        <f>IF(B12&gt;0,F12/B12,0)</f>
        <v/>
      </c>
    </row>
    <row r="13">
      <c r="A13" s="13" t="inlineStr">
        <is>
          <t>October</t>
        </is>
      </c>
      <c r="B13" s="14" t="n">
        <v>5000</v>
      </c>
      <c r="C13" s="14" t="n">
        <v>2200</v>
      </c>
      <c r="D13" s="14" t="n">
        <v>1200</v>
      </c>
      <c r="E13" s="14">
        <f>C13+D13</f>
        <v/>
      </c>
      <c r="F13" s="14">
        <f>B13-E13</f>
        <v/>
      </c>
      <c r="G13" s="15">
        <f>IF(B13&gt;0,F13/B13,0)</f>
        <v/>
      </c>
    </row>
    <row r="14">
      <c r="A14" s="10" t="inlineStr">
        <is>
          <t>November</t>
        </is>
      </c>
      <c r="B14" s="11" t="n">
        <v>5500</v>
      </c>
      <c r="C14" s="11" t="n">
        <v>2200</v>
      </c>
      <c r="D14" s="11" t="n">
        <v>1500</v>
      </c>
      <c r="E14" s="11">
        <f>C14+D14</f>
        <v/>
      </c>
      <c r="F14" s="11">
        <f>B14-E14</f>
        <v/>
      </c>
      <c r="G14" s="12">
        <f>IF(B14&gt;0,F14/B14,0)</f>
        <v/>
      </c>
    </row>
    <row r="15">
      <c r="A15" s="13" t="inlineStr">
        <is>
          <t>December</t>
        </is>
      </c>
      <c r="B15" s="14" t="n">
        <v>6000</v>
      </c>
      <c r="C15" s="14" t="n">
        <v>2200</v>
      </c>
      <c r="D15" s="14" t="n">
        <v>1800</v>
      </c>
      <c r="E15" s="14">
        <f>C15+D15</f>
        <v/>
      </c>
      <c r="F15" s="14">
        <f>B15-E15</f>
        <v/>
      </c>
      <c r="G15" s="15">
        <f>IF(B15&gt;0,F15/B15,0)</f>
        <v/>
      </c>
    </row>
    <row r="16">
      <c r="A16" s="16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7">
        <f>SUM(F4:F15)</f>
        <v/>
      </c>
      <c r="G16" s="18">
        <f>IF(B16&gt;0,F16/B16,0)</f>
        <v/>
      </c>
    </row>
  </sheetData>
  <mergeCells count="1">
    <mergeCell ref="A1:G1"/>
  </mergeCells>
  <conditionalFormatting sqref="F4:F15">
    <cfRule type="cellIs" priority="1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NET WORTH TRACKER</t>
        </is>
      </c>
      <c r="B1" s="2" t="n"/>
      <c r="C1" s="2" t="n"/>
    </row>
    <row r="3">
      <c r="A3" s="19" t="inlineStr">
        <is>
          <t>ASSETS</t>
        </is>
      </c>
      <c r="B3" s="9" t="inlineStr">
        <is>
          <t>Category</t>
        </is>
      </c>
      <c r="C3" s="9" t="inlineStr">
        <is>
          <t>Value</t>
        </is>
      </c>
    </row>
    <row r="4">
      <c r="A4" s="20" t="inlineStr">
        <is>
          <t>Checking Account</t>
        </is>
      </c>
      <c r="B4" s="10" t="inlineStr">
        <is>
          <t>Cash</t>
        </is>
      </c>
      <c r="C4" s="11" t="n">
        <v>8500</v>
      </c>
    </row>
    <row r="5">
      <c r="A5" s="21" t="inlineStr">
        <is>
          <t>Savings Account</t>
        </is>
      </c>
      <c r="B5" s="13" t="inlineStr">
        <is>
          <t>Cash</t>
        </is>
      </c>
      <c r="C5" s="14" t="n">
        <v>15000</v>
      </c>
    </row>
    <row r="6">
      <c r="A6" s="20" t="inlineStr">
        <is>
          <t>Emergency Fund</t>
        </is>
      </c>
      <c r="B6" s="10" t="inlineStr">
        <is>
          <t>Cash</t>
        </is>
      </c>
      <c r="C6" s="11" t="n">
        <v>10000</v>
      </c>
    </row>
    <row r="7">
      <c r="A7" s="21" t="inlineStr">
        <is>
          <t>401(k)</t>
        </is>
      </c>
      <c r="B7" s="13" t="inlineStr">
        <is>
          <t>Investments</t>
        </is>
      </c>
      <c r="C7" s="14" t="n">
        <v>45000</v>
      </c>
    </row>
    <row r="8">
      <c r="A8" s="20" t="inlineStr">
        <is>
          <t>Brokerage Account</t>
        </is>
      </c>
      <c r="B8" s="10" t="inlineStr">
        <is>
          <t>Investments</t>
        </is>
      </c>
      <c r="C8" s="11" t="n">
        <v>12000</v>
      </c>
    </row>
    <row r="9">
      <c r="A9" s="21" t="inlineStr">
        <is>
          <t>Crypto</t>
        </is>
      </c>
      <c r="B9" s="13" t="inlineStr">
        <is>
          <t>Investments</t>
        </is>
      </c>
      <c r="C9" s="14" t="n">
        <v>3000</v>
      </c>
    </row>
    <row r="10">
      <c r="A10" s="20" t="inlineStr">
        <is>
          <t>Home Value</t>
        </is>
      </c>
      <c r="B10" s="10" t="inlineStr">
        <is>
          <t>Property</t>
        </is>
      </c>
      <c r="C10" s="11" t="n">
        <v>350000</v>
      </c>
    </row>
    <row r="11">
      <c r="A11" s="21" t="inlineStr">
        <is>
          <t>Car Value</t>
        </is>
      </c>
      <c r="B11" s="13" t="inlineStr">
        <is>
          <t>Property</t>
        </is>
      </c>
      <c r="C11" s="14" t="n">
        <v>18000</v>
      </c>
    </row>
    <row r="12">
      <c r="A12" s="16" t="inlineStr">
        <is>
          <t>TOTAL ASSETS</t>
        </is>
      </c>
      <c r="B12" s="16" t="n"/>
      <c r="C12" s="17">
        <f>SUM(C4:C11)</f>
        <v/>
      </c>
    </row>
    <row r="14">
      <c r="A14" s="22" t="inlineStr">
        <is>
          <t>LIABILITIES</t>
        </is>
      </c>
      <c r="B14" s="23" t="inlineStr">
        <is>
          <t>Category</t>
        </is>
      </c>
      <c r="C14" s="23" t="inlineStr">
        <is>
          <t>Balance</t>
        </is>
      </c>
    </row>
    <row r="15">
      <c r="A15" s="20" t="inlineStr">
        <is>
          <t>Mortgage</t>
        </is>
      </c>
      <c r="B15" s="10" t="inlineStr">
        <is>
          <t>Loan</t>
        </is>
      </c>
      <c r="C15" s="11" t="n">
        <v>280000</v>
      </c>
    </row>
    <row r="16">
      <c r="A16" s="21" t="inlineStr">
        <is>
          <t>Car Loan</t>
        </is>
      </c>
      <c r="B16" s="13" t="inlineStr">
        <is>
          <t>Loan</t>
        </is>
      </c>
      <c r="C16" s="14" t="n">
        <v>12000</v>
      </c>
    </row>
    <row r="17">
      <c r="A17" s="20" t="inlineStr">
        <is>
          <t>Student Loan</t>
        </is>
      </c>
      <c r="B17" s="10" t="inlineStr">
        <is>
          <t>Loan</t>
        </is>
      </c>
      <c r="C17" s="11" t="n">
        <v>25000</v>
      </c>
    </row>
    <row r="18">
      <c r="A18" s="21" t="inlineStr">
        <is>
          <t>Credit Card 1</t>
        </is>
      </c>
      <c r="B18" s="13" t="inlineStr">
        <is>
          <t>Credit Card</t>
        </is>
      </c>
      <c r="C18" s="14" t="n">
        <v>3500</v>
      </c>
    </row>
    <row r="19">
      <c r="A19" s="20" t="inlineStr">
        <is>
          <t>Credit Card 2</t>
        </is>
      </c>
      <c r="B19" s="10" t="inlineStr">
        <is>
          <t>Credit Card</t>
        </is>
      </c>
      <c r="C19" s="11" t="n">
        <v>1200</v>
      </c>
    </row>
    <row r="20">
      <c r="A20" s="24" t="inlineStr">
        <is>
          <t>TOTAL LIABILITIES</t>
        </is>
      </c>
      <c r="B20" s="24" t="n"/>
      <c r="C20" s="25">
        <f>SUM(C15:C19)</f>
        <v/>
      </c>
    </row>
    <row r="22">
      <c r="A22" s="26" t="inlineStr">
        <is>
          <t>NET WORTH</t>
        </is>
      </c>
      <c r="B22" s="26" t="n"/>
      <c r="C22" s="8">
        <f>C12-C20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INVESTMENT PORTFOLIO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9" t="inlineStr">
        <is>
          <t>Name</t>
        </is>
      </c>
      <c r="B3" s="9" t="inlineStr">
        <is>
          <t>Ticker</t>
        </is>
      </c>
      <c r="C3" s="9" t="inlineStr">
        <is>
          <t>Shares</t>
        </is>
      </c>
      <c r="D3" s="9" t="inlineStr">
        <is>
          <t>Buy Price</t>
        </is>
      </c>
      <c r="E3" s="9" t="inlineStr">
        <is>
          <t>Current Price</t>
        </is>
      </c>
      <c r="F3" s="9" t="inlineStr">
        <is>
          <t>Market Value</t>
        </is>
      </c>
      <c r="G3" s="9" t="inlineStr">
        <is>
          <t>Gain/Loss $</t>
        </is>
      </c>
      <c r="H3" s="9" t="inlineStr">
        <is>
          <t>Gain/Loss %</t>
        </is>
      </c>
      <c r="I3" s="9" t="inlineStr">
        <is>
          <t>Allocation %</t>
        </is>
      </c>
    </row>
    <row r="4">
      <c r="A4" s="20" t="inlineStr">
        <is>
          <t>S&amp;P 500 ETF</t>
        </is>
      </c>
      <c r="B4" s="10" t="inlineStr">
        <is>
          <t>VOO</t>
        </is>
      </c>
      <c r="C4" s="10" t="n">
        <v>50</v>
      </c>
      <c r="D4" s="11" t="n">
        <v>380</v>
      </c>
      <c r="E4" s="11" t="n">
        <v>420.5</v>
      </c>
      <c r="F4" s="11">
        <f>C4*E4</f>
        <v/>
      </c>
      <c r="G4" s="11">
        <f>F4-(C4*D4)</f>
        <v/>
      </c>
      <c r="H4" s="12">
        <f>IF(C4*D4&gt;0,G4/(C4*D4),0)</f>
        <v/>
      </c>
      <c r="I4" s="12">
        <f>IF(F$11&gt;0,F4/F$11,0)</f>
        <v/>
      </c>
    </row>
    <row r="5">
      <c r="A5" s="21" t="inlineStr">
        <is>
          <t>Total Market ETF</t>
        </is>
      </c>
      <c r="B5" s="13" t="inlineStr">
        <is>
          <t>VTI</t>
        </is>
      </c>
      <c r="C5" s="13" t="n">
        <v>30</v>
      </c>
      <c r="D5" s="14" t="n">
        <v>210</v>
      </c>
      <c r="E5" s="14" t="n">
        <v>228.75</v>
      </c>
      <c r="F5" s="14">
        <f>C5*E5</f>
        <v/>
      </c>
      <c r="G5" s="14">
        <f>F5-(C5*D5)</f>
        <v/>
      </c>
      <c r="H5" s="15">
        <f>IF(C5*D5&gt;0,G5/(C5*D5),0)</f>
        <v/>
      </c>
      <c r="I5" s="15">
        <f>IF(F$11&gt;0,F5/F$11,0)</f>
        <v/>
      </c>
    </row>
    <row r="6">
      <c r="A6" s="20" t="inlineStr">
        <is>
          <t>Tech ETF</t>
        </is>
      </c>
      <c r="B6" s="10" t="inlineStr">
        <is>
          <t>QQQ</t>
        </is>
      </c>
      <c r="C6" s="10" t="n">
        <v>20</v>
      </c>
      <c r="D6" s="11" t="n">
        <v>350</v>
      </c>
      <c r="E6" s="11" t="n">
        <v>385</v>
      </c>
      <c r="F6" s="11">
        <f>C6*E6</f>
        <v/>
      </c>
      <c r="G6" s="11">
        <f>F6-(C6*D6)</f>
        <v/>
      </c>
      <c r="H6" s="12">
        <f>IF(C6*D6&gt;0,G6/(C6*D6),0)</f>
        <v/>
      </c>
      <c r="I6" s="12">
        <f>IF(F$11&gt;0,F6/F$11,0)</f>
        <v/>
      </c>
    </row>
    <row r="7">
      <c r="A7" s="21" t="inlineStr">
        <is>
          <t>Bond ETF</t>
        </is>
      </c>
      <c r="B7" s="13" t="inlineStr">
        <is>
          <t>BND</t>
        </is>
      </c>
      <c r="C7" s="13" t="n">
        <v>40</v>
      </c>
      <c r="D7" s="14" t="n">
        <v>72</v>
      </c>
      <c r="E7" s="14" t="n">
        <v>70.5</v>
      </c>
      <c r="F7" s="14">
        <f>C7*E7</f>
        <v/>
      </c>
      <c r="G7" s="14">
        <f>F7-(C7*D7)</f>
        <v/>
      </c>
      <c r="H7" s="15">
        <f>IF(C7*D7&gt;0,G7/(C7*D7),0)</f>
        <v/>
      </c>
      <c r="I7" s="15">
        <f>IF(F$11&gt;0,F7/F$11,0)</f>
        <v/>
      </c>
    </row>
    <row r="8">
      <c r="A8" s="20" t="inlineStr">
        <is>
          <t>Int'l ETF</t>
        </is>
      </c>
      <c r="B8" s="10" t="inlineStr">
        <is>
          <t>VXUS</t>
        </is>
      </c>
      <c r="C8" s="10" t="n">
        <v>25</v>
      </c>
      <c r="D8" s="11" t="n">
        <v>55</v>
      </c>
      <c r="E8" s="11" t="n">
        <v>58.2</v>
      </c>
      <c r="F8" s="11">
        <f>C8*E8</f>
        <v/>
      </c>
      <c r="G8" s="11">
        <f>F8-(C8*D8)</f>
        <v/>
      </c>
      <c r="H8" s="12">
        <f>IF(C8*D8&gt;0,G8/(C8*D8),0)</f>
        <v/>
      </c>
      <c r="I8" s="12">
        <f>IF(F$11&gt;0,F8/F$11,0)</f>
        <v/>
      </c>
    </row>
    <row r="9">
      <c r="A9" s="21" t="inlineStr">
        <is>
          <t>REIT ETF</t>
        </is>
      </c>
      <c r="B9" s="13" t="inlineStr">
        <is>
          <t>VNQ</t>
        </is>
      </c>
      <c r="C9" s="13" t="n">
        <v>15</v>
      </c>
      <c r="D9" s="14" t="n">
        <v>85</v>
      </c>
      <c r="E9" s="14" t="n">
        <v>82</v>
      </c>
      <c r="F9" s="14">
        <f>C9*E9</f>
        <v/>
      </c>
      <c r="G9" s="14">
        <f>F9-(C9*D9)</f>
        <v/>
      </c>
      <c r="H9" s="15">
        <f>IF(C9*D9&gt;0,G9/(C9*D9),0)</f>
        <v/>
      </c>
      <c r="I9" s="15">
        <f>IF(F$11&gt;0,F9/F$11,0)</f>
        <v/>
      </c>
    </row>
    <row r="10">
      <c r="A10" s="20" t="inlineStr">
        <is>
          <t>Dividend ETF</t>
        </is>
      </c>
      <c r="B10" s="10" t="inlineStr">
        <is>
          <t>VYM</t>
        </is>
      </c>
      <c r="C10" s="10" t="n">
        <v>35</v>
      </c>
      <c r="D10" s="11" t="n">
        <v>110</v>
      </c>
      <c r="E10" s="11" t="n">
        <v>118.5</v>
      </c>
      <c r="F10" s="11">
        <f>C10*E10</f>
        <v/>
      </c>
      <c r="G10" s="11">
        <f>F10-(C10*D10)</f>
        <v/>
      </c>
      <c r="H10" s="12">
        <f>IF(C10*D10&gt;0,G10/(C10*D10),0)</f>
        <v/>
      </c>
      <c r="I10" s="12">
        <f>IF(F$11&gt;0,F10/F$11,0)</f>
        <v/>
      </c>
    </row>
    <row r="11">
      <c r="A11" s="16" t="inlineStr">
        <is>
          <t>TOTAL PORTFOLIO</t>
        </is>
      </c>
      <c r="B11" s="16" t="n"/>
      <c r="C11" s="16">
        <f>SUM(C4:C10)</f>
        <v/>
      </c>
      <c r="D11" s="17" t="n"/>
      <c r="E11" s="17" t="n"/>
      <c r="F11" s="17">
        <f>SUM(F4:F10)</f>
        <v/>
      </c>
      <c r="G11" s="17">
        <f>SUM(G4:G10)</f>
        <v/>
      </c>
      <c r="H11" s="18">
        <f>IF((SUMPRODUCT(C4:C10,D4:D10))&gt;0,G11/SUMPRODUCT(C4:C10,D4:D10),0)</f>
        <v/>
      </c>
      <c r="I11" s="18" t="n"/>
    </row>
  </sheetData>
  <mergeCells count="1">
    <mergeCell ref="A1:I1"/>
  </mergeCells>
  <conditionalFormatting sqref="G4:G10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FINANCIAL GOALS TRACKER</t>
        </is>
      </c>
      <c r="B1" s="2" t="n"/>
      <c r="C1" s="2" t="n"/>
      <c r="D1" s="2" t="n"/>
      <c r="E1" s="2" t="n"/>
      <c r="F1" s="2" t="n"/>
      <c r="G1" s="2" t="n"/>
    </row>
    <row r="3">
      <c r="A3" s="9" t="inlineStr">
        <is>
          <t>Goal</t>
        </is>
      </c>
      <c r="B3" s="9" t="inlineStr">
        <is>
          <t>Target Amount</t>
        </is>
      </c>
      <c r="C3" s="9" t="inlineStr">
        <is>
          <t>Current Amount</t>
        </is>
      </c>
      <c r="D3" s="9" t="inlineStr">
        <is>
          <t>Remaining</t>
        </is>
      </c>
      <c r="E3" s="9" t="inlineStr">
        <is>
          <t>Progress %</t>
        </is>
      </c>
      <c r="F3" s="9" t="inlineStr">
        <is>
          <t>Target Date</t>
        </is>
      </c>
      <c r="G3" s="9" t="inlineStr">
        <is>
          <t>Status</t>
        </is>
      </c>
    </row>
    <row r="4">
      <c r="A4" s="20" t="inlineStr">
        <is>
          <t>Emergency Fund (6 months)</t>
        </is>
      </c>
      <c r="B4" s="11" t="n">
        <v>30000</v>
      </c>
      <c r="C4" s="11" t="n">
        <v>10000</v>
      </c>
      <c r="D4" s="11">
        <f>B4-C4</f>
        <v/>
      </c>
      <c r="E4" s="12">
        <f>IF(B4&gt;0,C4/B4,0)</f>
        <v/>
      </c>
      <c r="F4" s="10" t="inlineStr">
        <is>
          <t>2026-12-31</t>
        </is>
      </c>
      <c r="G4" s="10">
        <f>IF(E4&gt;=1,"Completed",IF(E4&gt;=0.5,"On Track","Behind"))</f>
        <v/>
      </c>
    </row>
    <row r="5">
      <c r="A5" s="21" t="inlineStr">
        <is>
          <t>House Down Payment</t>
        </is>
      </c>
      <c r="B5" s="14" t="n">
        <v>60000</v>
      </c>
      <c r="C5" s="14" t="n">
        <v>15000</v>
      </c>
      <c r="D5" s="14">
        <f>B5-C5</f>
        <v/>
      </c>
      <c r="E5" s="15">
        <f>IF(B5&gt;0,C5/B5,0)</f>
        <v/>
      </c>
      <c r="F5" s="13" t="inlineStr">
        <is>
          <t>2028-06-30</t>
        </is>
      </c>
      <c r="G5" s="13">
        <f>IF(E5&gt;=1,"Completed",IF(E5&gt;=0.5,"On Track","Behind"))</f>
        <v/>
      </c>
    </row>
    <row r="6">
      <c r="A6" s="20" t="inlineStr">
        <is>
          <t>Vacation Fund</t>
        </is>
      </c>
      <c r="B6" s="11" t="n">
        <v>5000</v>
      </c>
      <c r="C6" s="11" t="n">
        <v>3200</v>
      </c>
      <c r="D6" s="11">
        <f>B6-C6</f>
        <v/>
      </c>
      <c r="E6" s="12">
        <f>IF(B6&gt;0,C6/B6,0)</f>
        <v/>
      </c>
      <c r="F6" s="10" t="inlineStr">
        <is>
          <t>2026-08-31</t>
        </is>
      </c>
      <c r="G6" s="10">
        <f>IF(E6&gt;=1,"Completed",IF(E6&gt;=0.5,"On Track","Behind"))</f>
        <v/>
      </c>
    </row>
    <row r="7">
      <c r="A7" s="21" t="inlineStr">
        <is>
          <t>New Car Fund</t>
        </is>
      </c>
      <c r="B7" s="14" t="n">
        <v>25000</v>
      </c>
      <c r="C7" s="14" t="n">
        <v>8000</v>
      </c>
      <c r="D7" s="14">
        <f>B7-C7</f>
        <v/>
      </c>
      <c r="E7" s="15">
        <f>IF(B7&gt;0,C7/B7,0)</f>
        <v/>
      </c>
      <c r="F7" s="13" t="inlineStr">
        <is>
          <t>2027-12-31</t>
        </is>
      </c>
      <c r="G7" s="13">
        <f>IF(E7&gt;=1,"Completed",IF(E7&gt;=0.5,"On Track","Behind"))</f>
        <v/>
      </c>
    </row>
    <row r="8">
      <c r="A8" s="20" t="inlineStr">
        <is>
          <t>Retirement Milestone</t>
        </is>
      </c>
      <c r="B8" s="11" t="n">
        <v>500000</v>
      </c>
      <c r="C8" s="11" t="n">
        <v>45000</v>
      </c>
      <c r="D8" s="11">
        <f>B8-C8</f>
        <v/>
      </c>
      <c r="E8" s="12">
        <f>IF(B8&gt;0,C8/B8,0)</f>
        <v/>
      </c>
      <c r="F8" s="10" t="inlineStr">
        <is>
          <t>2045-12-31</t>
        </is>
      </c>
      <c r="G8" s="10">
        <f>IF(E8&gt;=1,"Completed",IF(E8&gt;=0.5,"On Track","Behind"))</f>
        <v/>
      </c>
    </row>
    <row r="9">
      <c r="A9" s="21" t="inlineStr">
        <is>
          <t>Pay Off Student Loans</t>
        </is>
      </c>
      <c r="B9" s="14" t="n">
        <v>25000</v>
      </c>
      <c r="C9" s="14" t="n">
        <v>18000</v>
      </c>
      <c r="D9" s="14">
        <f>B9-C9</f>
        <v/>
      </c>
      <c r="E9" s="15">
        <f>IF(B9&gt;0,C9/B9,0)</f>
        <v/>
      </c>
      <c r="F9" s="13" t="inlineStr">
        <is>
          <t>2027-06-30</t>
        </is>
      </c>
      <c r="G9" s="13">
        <f>IF(E9&gt;=1,"Completed",IF(E9&gt;=0.5,"On Track","Behind"))</f>
        <v/>
      </c>
    </row>
    <row r="10">
      <c r="A10" s="20" t="inlineStr">
        <is>
          <t>Start a Business</t>
        </is>
      </c>
      <c r="B10" s="11" t="n">
        <v>20000</v>
      </c>
      <c r="C10" s="11" t="n">
        <v>4500</v>
      </c>
      <c r="D10" s="11">
        <f>B10-C10</f>
        <v/>
      </c>
      <c r="E10" s="12">
        <f>IF(B10&gt;0,C10/B10,0)</f>
        <v/>
      </c>
      <c r="F10" s="10" t="inlineStr">
        <is>
          <t>2028-12-31</t>
        </is>
      </c>
      <c r="G10" s="10">
        <f>IF(E10&gt;=1,"Completed",IF(E10&gt;=0.5,"On Track","Behind"))</f>
        <v/>
      </c>
    </row>
  </sheetData>
  <mergeCells count="1">
    <mergeCell ref="A1:G1"/>
  </mergeCells>
  <conditionalFormatting sqref="E4:E10">
    <cfRule type="cellIs" priority="1" operator="greaterThanOrEqual" dxfId="3">
      <formula>0.75</formula>
    </cfRule>
    <cfRule type="cellIs" priority="2" operator="lessThan" dxfId="1">
      <formula>0.25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ANNUAL FINANCIAL OVERVIEW</t>
        </is>
      </c>
      <c r="B1" s="2" t="n"/>
    </row>
    <row r="3">
      <c r="B3" s="27" t="inlineStr">
        <is>
          <t>Getting Started</t>
        </is>
      </c>
    </row>
    <row r="4" ht="22" customHeight="1">
      <c r="B4" s="28" t="inlineStr">
        <is>
          <t>1. Go to 'Monthly Summary' and review/update your monthly income and expenses</t>
        </is>
      </c>
    </row>
    <row r="5" ht="22" customHeight="1">
      <c r="B5" s="28" t="inlineStr">
        <is>
          <t>2. Update 'Net Worth' with your current asset values and liability balances</t>
        </is>
      </c>
    </row>
    <row r="6" ht="22" customHeight="1">
      <c r="B6" s="28" t="inlineStr">
        <is>
          <t>3. Add your investment holdings in the 'Investments' tab</t>
        </is>
      </c>
    </row>
    <row r="7" ht="22" customHeight="1">
      <c r="B7" s="28" t="inlineStr">
        <is>
          <t>4. Set your financial goals in the 'Goals' tab</t>
        </is>
      </c>
    </row>
    <row r="8" ht="22" customHeight="1">
      <c r="B8" s="28" t="inlineStr">
        <is>
          <t>5. Check your Dashboard for the complete overview!</t>
        </is>
      </c>
    </row>
    <row r="10">
      <c r="B10" s="27" t="inlineStr">
        <is>
          <t>Monthly Routine</t>
        </is>
      </c>
    </row>
    <row r="11" ht="22" customHeight="1">
      <c r="B11" s="28" t="inlineStr">
        <is>
          <t>- Update your income and expenses in Monthly Summary each month</t>
        </is>
      </c>
    </row>
    <row r="12" ht="22" customHeight="1">
      <c r="B12" s="28" t="inlineStr">
        <is>
          <t>- Review your Net Worth quarterly (update asset/liability values)</t>
        </is>
      </c>
    </row>
    <row r="13" ht="22" customHeight="1">
      <c r="B13" s="28" t="inlineStr">
        <is>
          <t>- Update investment prices monthly or quarterly</t>
        </is>
      </c>
    </row>
    <row r="14" ht="22" customHeight="1">
      <c r="B14" s="28" t="inlineStr">
        <is>
          <t>- Check goal progress and adjust savings accordingly</t>
        </is>
      </c>
    </row>
    <row r="16">
      <c r="B16" s="27" t="inlineStr">
        <is>
          <t>Tips</t>
        </is>
      </c>
    </row>
    <row r="17" ht="22" customHeight="1">
      <c r="B17" s="28" t="inlineStr">
        <is>
          <t>- All green cells contain formulas — don't edit them!</t>
        </is>
      </c>
    </row>
    <row r="18" ht="22" customHeight="1">
      <c r="B18" s="28" t="inlineStr">
        <is>
          <t>- Make a backup copy before major changes</t>
        </is>
      </c>
    </row>
    <row r="19" ht="22" customHeight="1">
      <c r="B19" s="28" t="inlineStr">
        <is>
          <t>- Use conditional formatting colors as guides (red=attention needed, green=on track)</t>
        </is>
      </c>
    </row>
    <row r="20" ht="22" customHeight="1">
      <c r="B20" s="28" t="inlineStr">
        <is>
          <t>- Update investment prices from your brokerage account</t>
        </is>
      </c>
    </row>
    <row r="22">
      <c r="B22" s="27" t="inlineStr">
        <is>
          <t>Need Help?</t>
        </is>
      </c>
    </row>
    <row r="23" ht="22" customHeight="1">
      <c r="B23" s="28" t="inlineStr">
        <is>
          <t>Message us on Etsy — we typically reply within a few hours!</t>
        </is>
      </c>
    </row>
    <row r="24" ht="22" customHeight="1">
      <c r="B24" s="28" t="inlineStr">
        <is>
          <t>Thank you for your purchase!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2026-03-31T21:12:28Z</dcterms:created>
  <dcterms:modified xsi:type="dcterms:W3CDTF">2026-03-31T21:12:28Z</dcterms:modified>
</cp:coreProperties>
</file>