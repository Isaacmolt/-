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Projects" sheetId="2" state="visible" r:id="rId2"/>
    <sheet name="Task Board" sheetId="3" state="visible" r:id="rId3"/>
    <sheet name="Meeting Notes" sheetId="4" state="visible" r:id="rId4"/>
    <sheet name="Resources" sheetId="5" state="visible" r:id="rId5"/>
    <sheet name="Instru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FFFFFF"/>
      <sz val="11"/>
    </font>
    <font>
      <name val="Calibri"/>
      <color rgb="001A1A1A"/>
      <sz val="11"/>
    </font>
    <font>
      <name val="Calibri"/>
      <b val="1"/>
      <color rgb="002D5F2D"/>
      <sz val="11"/>
    </font>
    <font>
      <name val="Calibri"/>
      <b val="1"/>
      <color rgb="00FFFFFF"/>
      <sz val="10"/>
    </font>
    <font>
      <name val="Calibri"/>
      <b val="1"/>
      <color rgb="001A1A1A"/>
      <sz val="16"/>
    </font>
    <font>
      <name val="Calibri"/>
      <b val="1"/>
      <color rgb="002D5F2D"/>
      <sz val="13"/>
    </font>
  </fonts>
  <fills count="6">
    <fill>
      <patternFill/>
    </fill>
    <fill>
      <patternFill patternType="gray125"/>
    </fill>
    <fill>
      <patternFill patternType="solid">
        <fgColor rgb="002D5F2D"/>
        <bgColor rgb="002D5F2D"/>
      </patternFill>
    </fill>
    <fill>
      <patternFill patternType="solid">
        <fgColor rgb="00F5F0E8"/>
        <bgColor rgb="00F5F0E8"/>
      </patternFill>
    </fill>
    <fill>
      <patternFill patternType="solid">
        <fgColor rgb="00FFFFFF"/>
        <bgColor rgb="00FFFFFF"/>
      </patternFill>
    </fill>
    <fill>
      <patternFill patternType="solid">
        <fgColor rgb="00E8F0E8"/>
        <bgColor rgb="00E8F0E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5" fillId="2" borderId="1" applyAlignment="1" pivotButton="0" quotePrefix="0" xfId="0">
      <alignment horizontal="center" vertical="center"/>
    </xf>
    <xf numFmtId="3" fontId="6" fillId="3" borderId="1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left" vertical="center"/>
    </xf>
    <xf numFmtId="164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4" fontId="3" fillId="4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6">
    <dxf>
      <font>
        <b val="1"/>
        <color rgb="002D5F2D"/>
      </font>
      <fill>
        <patternFill patternType="solid">
          <fgColor rgb="00E8F0E8"/>
          <bgColor rgb="00E8F0E8"/>
        </patternFill>
      </fill>
    </dxf>
    <dxf>
      <font>
        <color rgb="001B4F72"/>
      </font>
      <fill>
        <patternFill patternType="solid">
          <fgColor rgb="00D4E6F1"/>
          <bgColor rgb="00D4E6F1"/>
        </patternFill>
      </fill>
    </dxf>
    <dxf>
      <font>
        <b val="1"/>
        <color rgb="00CC4444"/>
      </font>
      <fill>
        <patternFill patternType="solid">
          <fgColor rgb="00FADBD8"/>
          <bgColor rgb="00FADBD8"/>
        </patternFill>
      </fill>
    </dxf>
    <dxf>
      <font>
        <color rgb="00856404"/>
      </font>
      <fill>
        <patternFill patternType="solid">
          <fgColor rgb="00FFF3CD"/>
          <bgColor rgb="00FFF3CD"/>
        </patternFill>
      </fill>
    </dxf>
    <dxf>
      <font>
        <b val="1"/>
        <color rgb="00CC4444"/>
      </font>
      <fill>
        <patternFill patternType="solid">
          <fgColor rgb="00FFE0E0"/>
          <bgColor rgb="00FFE0E0"/>
        </patternFill>
      </fill>
    </dxf>
    <dxf>
      <font>
        <color rgb="002D5F2D"/>
      </font>
      <fill>
        <patternFill patternType="solid">
          <fgColor rgb="00E8F0E8"/>
          <bgColor rgb="00E8F0E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Tasks by Status</a:t>
            </a:r>
          </a:p>
        </rich>
      </tx>
    </title>
    <plotArea>
      <pieChart>
        <varyColors val="1"/>
        <ser>
          <idx val="0"/>
          <order val="0"/>
          <tx>
            <strRef>
              <f>'Dashboard'!C6</f>
            </strRef>
          </tx>
          <spPr>
            <a:ln>
              <a:prstDash val="solid"/>
            </a:ln>
          </spPr>
          <cat>
            <numRef>
              <f>'Dashboard'!$B$7:$B$10</f>
            </numRef>
          </cat>
          <val>
            <numRef>
              <f>'Dashboard'!$C$7:$C$10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11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PROJECT MANAGEMENT DASHBOARD</t>
        </is>
      </c>
      <c r="B1" s="2" t="n"/>
      <c r="C1" s="2" t="n"/>
      <c r="D1" s="2" t="n"/>
      <c r="E1" s="2" t="n"/>
      <c r="F1" s="2" t="n"/>
      <c r="G1" s="2" t="n"/>
    </row>
    <row r="3">
      <c r="B3" s="3" t="inlineStr">
        <is>
          <t>Total Projects</t>
        </is>
      </c>
      <c r="C3" s="3" t="inlineStr">
        <is>
          <t>In Progress</t>
        </is>
      </c>
      <c r="D3" s="3" t="inlineStr">
        <is>
          <t>Completion Rate</t>
        </is>
      </c>
      <c r="E3" s="3" t="inlineStr">
        <is>
          <t>Overdue Tasks</t>
        </is>
      </c>
    </row>
    <row r="4">
      <c r="B4" s="4" t="inlineStr">
        <is>
          <t>3</t>
        </is>
      </c>
      <c r="C4" s="4" t="inlineStr">
        <is>
          <t>2</t>
        </is>
      </c>
      <c r="D4" s="5">
        <f>2/12</f>
        <v/>
      </c>
      <c r="E4" s="4" t="inlineStr">
        <is>
          <t>0</t>
        </is>
      </c>
    </row>
    <row r="7">
      <c r="B7" s="6" t="inlineStr">
        <is>
          <t>Done</t>
        </is>
      </c>
      <c r="C7" s="7" t="n">
        <v>3</v>
      </c>
    </row>
    <row r="8">
      <c r="B8" s="6" t="inlineStr">
        <is>
          <t>In Progress</t>
        </is>
      </c>
      <c r="C8" s="7" t="n">
        <v>3</v>
      </c>
    </row>
    <row r="9">
      <c r="B9" s="6" t="inlineStr">
        <is>
          <t>Review</t>
        </is>
      </c>
      <c r="C9" s="7" t="n">
        <v>1</v>
      </c>
    </row>
    <row r="10">
      <c r="B10" s="6" t="inlineStr">
        <is>
          <t>To Do</t>
        </is>
      </c>
      <c r="C10" s="7" t="n">
        <v>5</v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PROJECT OVERVIEW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3">
      <c r="A3" s="8" t="inlineStr">
        <is>
          <t>Project Name</t>
        </is>
      </c>
      <c r="B3" s="8" t="inlineStr">
        <is>
          <t>Description</t>
        </is>
      </c>
      <c r="C3" s="8" t="inlineStr">
        <is>
          <t>Owner</t>
        </is>
      </c>
      <c r="D3" s="8" t="inlineStr">
        <is>
          <t>Start Date</t>
        </is>
      </c>
      <c r="E3" s="8" t="inlineStr">
        <is>
          <t>Due Date</t>
        </is>
      </c>
      <c r="F3" s="8" t="inlineStr">
        <is>
          <t>Status</t>
        </is>
      </c>
      <c r="G3" s="8" t="inlineStr">
        <is>
          <t>Priority</t>
        </is>
      </c>
      <c r="H3" s="8" t="inlineStr">
        <is>
          <t>Budget</t>
        </is>
      </c>
      <c r="I3" s="8" t="inlineStr">
        <is>
          <t>Spent</t>
        </is>
      </c>
      <c r="J3" s="8" t="inlineStr">
        <is>
          <t>% Complete</t>
        </is>
      </c>
    </row>
    <row r="4">
      <c r="A4" s="6" t="inlineStr">
        <is>
          <t>Website Redesign</t>
        </is>
      </c>
      <c r="B4" s="6" t="inlineStr">
        <is>
          <t>Complete overhaul of company site</t>
        </is>
      </c>
      <c r="C4" s="6" t="inlineStr">
        <is>
          <t>Sarah</t>
        </is>
      </c>
      <c r="D4" s="6" t="inlineStr">
        <is>
          <t>2026-01-15</t>
        </is>
      </c>
      <c r="E4" s="6" t="inlineStr">
        <is>
          <t>2026-04-30</t>
        </is>
      </c>
      <c r="F4" s="7" t="inlineStr">
        <is>
          <t>In Progress</t>
        </is>
      </c>
      <c r="G4" s="7" t="inlineStr">
        <is>
          <t>High</t>
        </is>
      </c>
      <c r="H4" s="9" t="n">
        <v>25000</v>
      </c>
      <c r="I4" s="9" t="n">
        <v>12500</v>
      </c>
      <c r="J4" s="10" t="n">
        <v>0.5</v>
      </c>
    </row>
    <row r="5">
      <c r="A5" s="11" t="inlineStr">
        <is>
          <t>Mobile App v2</t>
        </is>
      </c>
      <c r="B5" s="11" t="inlineStr">
        <is>
          <t>Native app rebuild</t>
        </is>
      </c>
      <c r="C5" s="11" t="inlineStr">
        <is>
          <t>Mike</t>
        </is>
      </c>
      <c r="D5" s="11" t="inlineStr">
        <is>
          <t>2026-02-01</t>
        </is>
      </c>
      <c r="E5" s="11" t="inlineStr">
        <is>
          <t>2026-06-30</t>
        </is>
      </c>
      <c r="F5" s="12" t="inlineStr">
        <is>
          <t>In Progress</t>
        </is>
      </c>
      <c r="G5" s="12" t="inlineStr">
        <is>
          <t>High</t>
        </is>
      </c>
      <c r="H5" s="13" t="n">
        <v>40000</v>
      </c>
      <c r="I5" s="13" t="n">
        <v>8000</v>
      </c>
      <c r="J5" s="14" t="n">
        <v>0.2</v>
      </c>
    </row>
    <row r="6">
      <c r="A6" s="6" t="inlineStr">
        <is>
          <t>CRM Integration</t>
        </is>
      </c>
      <c r="B6" s="6" t="inlineStr">
        <is>
          <t>Connect CRM to all systems</t>
        </is>
      </c>
      <c r="C6" s="6" t="inlineStr">
        <is>
          <t>Lisa</t>
        </is>
      </c>
      <c r="D6" s="6" t="inlineStr">
        <is>
          <t>2026-03-01</t>
        </is>
      </c>
      <c r="E6" s="6" t="inlineStr">
        <is>
          <t>2026-05-15</t>
        </is>
      </c>
      <c r="F6" s="7" t="inlineStr">
        <is>
          <t>Not Started</t>
        </is>
      </c>
      <c r="G6" s="7" t="inlineStr">
        <is>
          <t>Medium</t>
        </is>
      </c>
      <c r="H6" s="9" t="n">
        <v>15000</v>
      </c>
      <c r="I6" s="9" t="n">
        <v>0</v>
      </c>
      <c r="J6" s="10" t="n">
        <v>0</v>
      </c>
    </row>
  </sheetData>
  <mergeCells count="1">
    <mergeCell ref="A1:J1"/>
  </mergeCells>
  <conditionalFormatting sqref="F4:F6">
    <cfRule type="cellIs" priority="1" operator="equal" dxfId="0">
      <formula>"Completed"</formula>
    </cfRule>
    <cfRule type="cellIs" priority="2" operator="equal" dxfId="1">
      <formula>"In Progress"</formula>
    </cfRule>
  </conditionalFormatting>
  <conditionalFormatting sqref="G4:G6">
    <cfRule type="cellIs" priority="3" operator="equal" dxfId="2">
      <formula>"High"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TASK BOARD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3">
      <c r="A3" s="8" t="inlineStr">
        <is>
          <t>Task</t>
        </is>
      </c>
      <c r="B3" s="8" t="inlineStr">
        <is>
          <t>Project</t>
        </is>
      </c>
      <c r="C3" s="8" t="inlineStr">
        <is>
          <t>Assignee</t>
        </is>
      </c>
      <c r="D3" s="8" t="inlineStr">
        <is>
          <t>Status</t>
        </is>
      </c>
      <c r="E3" s="8" t="inlineStr">
        <is>
          <t>Priority</t>
        </is>
      </c>
      <c r="F3" s="8" t="inlineStr">
        <is>
          <t>Due Date</t>
        </is>
      </c>
      <c r="G3" s="8" t="inlineStr">
        <is>
          <t>Est Hours</t>
        </is>
      </c>
      <c r="H3" s="8" t="inlineStr">
        <is>
          <t>Actual Hours</t>
        </is>
      </c>
      <c r="I3" s="8" t="inlineStr">
        <is>
          <t>Notes</t>
        </is>
      </c>
    </row>
    <row r="4">
      <c r="A4" s="6" t="inlineStr">
        <is>
          <t>Design mockups</t>
        </is>
      </c>
      <c r="B4" s="6" t="inlineStr">
        <is>
          <t>Website Redesign</t>
        </is>
      </c>
      <c r="C4" s="6" t="inlineStr">
        <is>
          <t>Sarah</t>
        </is>
      </c>
      <c r="D4" s="7" t="inlineStr">
        <is>
          <t>Done</t>
        </is>
      </c>
      <c r="E4" s="7" t="inlineStr">
        <is>
          <t>High</t>
        </is>
      </c>
      <c r="F4" s="6" t="inlineStr">
        <is>
          <t>2026-02-01</t>
        </is>
      </c>
      <c r="G4" s="7" t="n">
        <v>16</v>
      </c>
      <c r="H4" s="7" t="n">
        <v>18</v>
      </c>
      <c r="I4" s="6" t="inlineStr">
        <is>
          <t>Approved</t>
        </is>
      </c>
    </row>
    <row r="5">
      <c r="A5" s="11" t="inlineStr">
        <is>
          <t>Frontend build</t>
        </is>
      </c>
      <c r="B5" s="11" t="inlineStr">
        <is>
          <t>Website Redesign</t>
        </is>
      </c>
      <c r="C5" s="11" t="inlineStr">
        <is>
          <t>Tom</t>
        </is>
      </c>
      <c r="D5" s="12" t="inlineStr">
        <is>
          <t>In Progress</t>
        </is>
      </c>
      <c r="E5" s="12" t="inlineStr">
        <is>
          <t>High</t>
        </is>
      </c>
      <c r="F5" s="11" t="inlineStr">
        <is>
          <t>2026-03-15</t>
        </is>
      </c>
      <c r="G5" s="12" t="n">
        <v>40</v>
      </c>
      <c r="H5" s="12" t="n">
        <v>20</v>
      </c>
      <c r="I5" s="11" t="inlineStr">
        <is>
          <t>React</t>
        </is>
      </c>
    </row>
    <row r="6">
      <c r="A6" s="6" t="inlineStr">
        <is>
          <t>Backend API</t>
        </is>
      </c>
      <c r="B6" s="6" t="inlineStr">
        <is>
          <t>Website Redesign</t>
        </is>
      </c>
      <c r="C6" s="6" t="inlineStr">
        <is>
          <t>Mike</t>
        </is>
      </c>
      <c r="D6" s="7" t="inlineStr">
        <is>
          <t>In Progress</t>
        </is>
      </c>
      <c r="E6" s="7" t="inlineStr">
        <is>
          <t>High</t>
        </is>
      </c>
      <c r="F6" s="6" t="inlineStr">
        <is>
          <t>2026-03-20</t>
        </is>
      </c>
      <c r="G6" s="7" t="n">
        <v>32</v>
      </c>
      <c r="H6" s="7" t="n">
        <v>12</v>
      </c>
      <c r="I6" s="6" t="inlineStr">
        <is>
          <t>REST</t>
        </is>
      </c>
    </row>
    <row r="7">
      <c r="A7" s="11" t="inlineStr">
        <is>
          <t>Content migration</t>
        </is>
      </c>
      <c r="B7" s="11" t="inlineStr">
        <is>
          <t>Website Redesign</t>
        </is>
      </c>
      <c r="C7" s="11" t="inlineStr">
        <is>
          <t>Lisa</t>
        </is>
      </c>
      <c r="D7" s="12" t="inlineStr">
        <is>
          <t>To Do</t>
        </is>
      </c>
      <c r="E7" s="12" t="inlineStr">
        <is>
          <t>Medium</t>
        </is>
      </c>
      <c r="F7" s="11" t="inlineStr">
        <is>
          <t>2026-04-01</t>
        </is>
      </c>
      <c r="G7" s="12" t="n">
        <v>20</v>
      </c>
      <c r="H7" s="12" t="n">
        <v>0</v>
      </c>
      <c r="I7" s="11" t="inlineStr">
        <is>
          <t>500+ pages</t>
        </is>
      </c>
    </row>
    <row r="8">
      <c r="A8" s="6" t="inlineStr">
        <is>
          <t>UI/UX research</t>
        </is>
      </c>
      <c r="B8" s="6" t="inlineStr">
        <is>
          <t>Mobile App v2</t>
        </is>
      </c>
      <c r="C8" s="6" t="inlineStr">
        <is>
          <t>Sarah</t>
        </is>
      </c>
      <c r="D8" s="7" t="inlineStr">
        <is>
          <t>Done</t>
        </is>
      </c>
      <c r="E8" s="7" t="inlineStr">
        <is>
          <t>High</t>
        </is>
      </c>
      <c r="F8" s="6" t="inlineStr">
        <is>
          <t>2026-02-15</t>
        </is>
      </c>
      <c r="G8" s="7" t="n">
        <v>24</v>
      </c>
      <c r="H8" s="7" t="n">
        <v>22</v>
      </c>
      <c r="I8" s="6" t="inlineStr">
        <is>
          <t>Done</t>
        </is>
      </c>
    </row>
    <row r="9">
      <c r="A9" s="11" t="inlineStr">
        <is>
          <t>App wireframes</t>
        </is>
      </c>
      <c r="B9" s="11" t="inlineStr">
        <is>
          <t>Mobile App v2</t>
        </is>
      </c>
      <c r="C9" s="11" t="inlineStr">
        <is>
          <t>Sarah</t>
        </is>
      </c>
      <c r="D9" s="12" t="inlineStr">
        <is>
          <t>In Progress</t>
        </is>
      </c>
      <c r="E9" s="12" t="inlineStr">
        <is>
          <t>High</t>
        </is>
      </c>
      <c r="F9" s="11" t="inlineStr">
        <is>
          <t>2026-03-01</t>
        </is>
      </c>
      <c r="G9" s="12" t="n">
        <v>20</v>
      </c>
      <c r="H9" s="12" t="n">
        <v>15</v>
      </c>
      <c r="I9" s="11" t="inlineStr">
        <is>
          <t>80%</t>
        </is>
      </c>
    </row>
    <row r="10">
      <c r="A10" s="6" t="inlineStr">
        <is>
          <t>iOS development</t>
        </is>
      </c>
      <c r="B10" s="6" t="inlineStr">
        <is>
          <t>Mobile App v2</t>
        </is>
      </c>
      <c r="C10" s="6" t="inlineStr">
        <is>
          <t>Tom</t>
        </is>
      </c>
      <c r="D10" s="7" t="inlineStr">
        <is>
          <t>To Do</t>
        </is>
      </c>
      <c r="E10" s="7" t="inlineStr">
        <is>
          <t>High</t>
        </is>
      </c>
      <c r="F10" s="6" t="inlineStr">
        <is>
          <t>2026-04-15</t>
        </is>
      </c>
      <c r="G10" s="7" t="n">
        <v>80</v>
      </c>
      <c r="H10" s="7" t="n">
        <v>0</v>
      </c>
      <c r="I10" s="6" t="inlineStr">
        <is>
          <t>Swift</t>
        </is>
      </c>
    </row>
    <row r="11">
      <c r="A11" s="11" t="inlineStr">
        <is>
          <t>Android dev</t>
        </is>
      </c>
      <c r="B11" s="11" t="inlineStr">
        <is>
          <t>Mobile App v2</t>
        </is>
      </c>
      <c r="C11" s="11" t="inlineStr">
        <is>
          <t>Mike</t>
        </is>
      </c>
      <c r="D11" s="12" t="inlineStr">
        <is>
          <t>To Do</t>
        </is>
      </c>
      <c r="E11" s="12" t="inlineStr">
        <is>
          <t>High</t>
        </is>
      </c>
      <c r="F11" s="11" t="inlineStr">
        <is>
          <t>2026-04-15</t>
        </is>
      </c>
      <c r="G11" s="12" t="n">
        <v>80</v>
      </c>
      <c r="H11" s="12" t="n">
        <v>0</v>
      </c>
      <c r="I11" s="11" t="inlineStr">
        <is>
          <t>Kotlin</t>
        </is>
      </c>
    </row>
    <row r="12">
      <c r="A12" s="6" t="inlineStr">
        <is>
          <t>API integration</t>
        </is>
      </c>
      <c r="B12" s="6" t="inlineStr">
        <is>
          <t>Mobile App v2</t>
        </is>
      </c>
      <c r="C12" s="6" t="inlineStr">
        <is>
          <t>Mike</t>
        </is>
      </c>
      <c r="D12" s="7" t="inlineStr">
        <is>
          <t>To Do</t>
        </is>
      </c>
      <c r="E12" s="7" t="inlineStr">
        <is>
          <t>Medium</t>
        </is>
      </c>
      <c r="F12" s="6" t="inlineStr">
        <is>
          <t>2026-05-01</t>
        </is>
      </c>
      <c r="G12" s="7" t="n">
        <v>40</v>
      </c>
      <c r="H12" s="7" t="n">
        <v>0</v>
      </c>
      <c r="I12" s="6" t="inlineStr">
        <is>
          <t>REST+WS</t>
        </is>
      </c>
    </row>
    <row r="13">
      <c r="A13" s="11" t="inlineStr">
        <is>
          <t>Requirements doc</t>
        </is>
      </c>
      <c r="B13" s="11" t="inlineStr">
        <is>
          <t>CRM Integration</t>
        </is>
      </c>
      <c r="C13" s="11" t="inlineStr">
        <is>
          <t>Lisa</t>
        </is>
      </c>
      <c r="D13" s="12" t="inlineStr">
        <is>
          <t>Review</t>
        </is>
      </c>
      <c r="E13" s="12" t="inlineStr">
        <is>
          <t>High</t>
        </is>
      </c>
      <c r="F13" s="11" t="inlineStr">
        <is>
          <t>2026-03-10</t>
        </is>
      </c>
      <c r="G13" s="12" t="n">
        <v>8</v>
      </c>
      <c r="H13" s="12" t="n">
        <v>6</v>
      </c>
      <c r="I13" s="11" t="inlineStr">
        <is>
          <t>In review</t>
        </is>
      </c>
    </row>
    <row r="14">
      <c r="A14" s="6" t="inlineStr">
        <is>
          <t>Vendor evaluation</t>
        </is>
      </c>
      <c r="B14" s="6" t="inlineStr">
        <is>
          <t>CRM Integration</t>
        </is>
      </c>
      <c r="C14" s="6" t="inlineStr">
        <is>
          <t>Lisa</t>
        </is>
      </c>
      <c r="D14" s="7" t="inlineStr">
        <is>
          <t>To Do</t>
        </is>
      </c>
      <c r="E14" s="7" t="inlineStr">
        <is>
          <t>Medium</t>
        </is>
      </c>
      <c r="F14" s="6" t="inlineStr">
        <is>
          <t>2026-03-20</t>
        </is>
      </c>
      <c r="G14" s="7" t="n">
        <v>16</v>
      </c>
      <c r="H14" s="7" t="n">
        <v>0</v>
      </c>
      <c r="I14" s="6" t="inlineStr">
        <is>
          <t>3 vendors</t>
        </is>
      </c>
    </row>
    <row r="15">
      <c r="A15" s="11" t="inlineStr">
        <is>
          <t>Data mapping</t>
        </is>
      </c>
      <c r="B15" s="11" t="inlineStr">
        <is>
          <t>CRM Integration</t>
        </is>
      </c>
      <c r="C15" s="11" t="inlineStr">
        <is>
          <t>Tom</t>
        </is>
      </c>
      <c r="D15" s="12" t="inlineStr">
        <is>
          <t>To Do</t>
        </is>
      </c>
      <c r="E15" s="12" t="inlineStr">
        <is>
          <t>Medium</t>
        </is>
      </c>
      <c r="F15" s="11" t="inlineStr">
        <is>
          <t>2026-04-01</t>
        </is>
      </c>
      <c r="G15" s="12" t="n">
        <v>24</v>
      </c>
      <c r="H15" s="12" t="n">
        <v>0</v>
      </c>
      <c r="I15" s="11" t="inlineStr">
        <is>
          <t>Fields</t>
        </is>
      </c>
    </row>
    <row r="16">
      <c r="A16" s="15" t="inlineStr">
        <is>
          <t>TOTALS</t>
        </is>
      </c>
      <c r="B16" s="15" t="n"/>
      <c r="C16" s="15" t="n"/>
      <c r="D16" s="15" t="n"/>
      <c r="E16" s="15" t="n"/>
      <c r="F16" s="15" t="n"/>
      <c r="G16" s="15">
        <f>SUM(G4:G15)</f>
        <v/>
      </c>
      <c r="H16" s="15">
        <f>SUM(H4:H15)</f>
        <v/>
      </c>
      <c r="I16" s="15" t="n"/>
    </row>
  </sheetData>
  <mergeCells count="1">
    <mergeCell ref="A1:I1"/>
  </mergeCells>
  <conditionalFormatting sqref="D4:D15">
    <cfRule type="cellIs" priority="1" operator="equal" dxfId="0">
      <formula>"Done"</formula>
    </cfRule>
    <cfRule type="cellIs" priority="2" operator="equal" dxfId="1">
      <formula>"In Progress"</formula>
    </cfRule>
    <cfRule type="cellIs" priority="3" operator="equal" dxfId="3">
      <formula>"Review"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MEETING NOTES</t>
        </is>
      </c>
      <c r="B1" s="2" t="n"/>
      <c r="C1" s="2" t="n"/>
      <c r="D1" s="2" t="n"/>
      <c r="E1" s="2" t="n"/>
      <c r="F1" s="2" t="n"/>
      <c r="G1" s="2" t="n"/>
      <c r="H1" s="2" t="n"/>
    </row>
    <row r="3">
      <c r="A3" s="8" t="inlineStr">
        <is>
          <t>Date</t>
        </is>
      </c>
      <c r="B3" s="8" t="inlineStr">
        <is>
          <t>Project</t>
        </is>
      </c>
      <c r="C3" s="8" t="inlineStr">
        <is>
          <t>Attendees</t>
        </is>
      </c>
      <c r="D3" s="8" t="inlineStr">
        <is>
          <t>Agenda</t>
        </is>
      </c>
      <c r="E3" s="8" t="inlineStr">
        <is>
          <t>Decisions</t>
        </is>
      </c>
      <c r="F3" s="8" t="inlineStr">
        <is>
          <t>Action Items</t>
        </is>
      </c>
      <c r="G3" s="8" t="inlineStr">
        <is>
          <t>Owner</t>
        </is>
      </c>
      <c r="H3" s="8" t="inlineStr">
        <is>
          <t>Due Date</t>
        </is>
      </c>
    </row>
    <row r="4">
      <c r="A4" s="6" t="inlineStr">
        <is>
          <t>2026-01-20</t>
        </is>
      </c>
      <c r="B4" s="6" t="inlineStr">
        <is>
          <t>Website Redesign</t>
        </is>
      </c>
      <c r="C4" s="6" t="inlineStr">
        <is>
          <t>Sarah, Tom, Mike</t>
        </is>
      </c>
      <c r="D4" s="6" t="inlineStr">
        <is>
          <t>Kickoff</t>
        </is>
      </c>
      <c r="E4" s="6" t="inlineStr">
        <is>
          <t>Approved timeline</t>
        </is>
      </c>
      <c r="F4" s="6" t="inlineStr">
        <is>
          <t>Create design system</t>
        </is>
      </c>
      <c r="G4" s="6" t="inlineStr">
        <is>
          <t>Sarah</t>
        </is>
      </c>
      <c r="H4" s="6" t="inlineStr">
        <is>
          <t>2026-02-01</t>
        </is>
      </c>
    </row>
    <row r="5">
      <c r="A5" s="11" t="inlineStr">
        <is>
          <t>2026-02-05</t>
        </is>
      </c>
      <c r="B5" s="11" t="inlineStr">
        <is>
          <t>Mobile App v2</t>
        </is>
      </c>
      <c r="C5" s="11" t="inlineStr">
        <is>
          <t>Sarah, Tom, Mike</t>
        </is>
      </c>
      <c r="D5" s="11" t="inlineStr">
        <is>
          <t>UX research</t>
        </is>
      </c>
      <c r="E5" s="11" t="inlineStr">
        <is>
          <t>Go native</t>
        </is>
      </c>
      <c r="F5" s="11" t="inlineStr">
        <is>
          <t>Start wireframes</t>
        </is>
      </c>
      <c r="G5" s="11" t="inlineStr">
        <is>
          <t>Sarah</t>
        </is>
      </c>
      <c r="H5" s="11" t="inlineStr">
        <is>
          <t>2026-02-15</t>
        </is>
      </c>
    </row>
    <row r="6">
      <c r="A6" s="6" t="inlineStr">
        <is>
          <t>2026-03-01</t>
        </is>
      </c>
      <c r="B6" s="6" t="inlineStr">
        <is>
          <t>CRM Integration</t>
        </is>
      </c>
      <c r="C6" s="6" t="inlineStr">
        <is>
          <t>Lisa, Tom</t>
        </is>
      </c>
      <c r="D6" s="6" t="inlineStr">
        <is>
          <t>Requirements</t>
        </is>
      </c>
      <c r="E6" s="6" t="inlineStr">
        <is>
          <t>Salesforce primary</t>
        </is>
      </c>
      <c r="F6" s="6" t="inlineStr">
        <is>
          <t>Draft requirements</t>
        </is>
      </c>
      <c r="G6" s="6" t="inlineStr">
        <is>
          <t>Lisa</t>
        </is>
      </c>
      <c r="H6" s="6" t="inlineStr">
        <is>
          <t>2026-03-10</t>
        </is>
      </c>
    </row>
    <row r="7">
      <c r="A7" s="11" t="n"/>
      <c r="B7" s="11" t="n"/>
      <c r="C7" s="11" t="n"/>
      <c r="D7" s="11" t="n"/>
      <c r="E7" s="11" t="n"/>
      <c r="F7" s="11" t="n"/>
      <c r="G7" s="11" t="n"/>
      <c r="H7" s="11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</row>
    <row r="9">
      <c r="A9" s="11" t="n"/>
      <c r="B9" s="11" t="n"/>
      <c r="C9" s="11" t="n"/>
      <c r="D9" s="11" t="n"/>
      <c r="E9" s="11" t="n"/>
      <c r="F9" s="11" t="n"/>
      <c r="G9" s="11" t="n"/>
      <c r="H9" s="11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RESOURCE TRACKER</t>
        </is>
      </c>
      <c r="B1" s="2" t="n"/>
      <c r="C1" s="2" t="n"/>
      <c r="D1" s="2" t="n"/>
      <c r="E1" s="2" t="n"/>
      <c r="F1" s="2" t="n"/>
    </row>
    <row r="3">
      <c r="A3" s="8" t="inlineStr">
        <is>
          <t>Team Member</t>
        </is>
      </c>
      <c r="B3" s="8" t="inlineStr">
        <is>
          <t>Role</t>
        </is>
      </c>
      <c r="C3" s="8" t="inlineStr">
        <is>
          <t>Projects</t>
        </is>
      </c>
      <c r="D3" s="8" t="inlineStr">
        <is>
          <t>Allocated Hours</t>
        </is>
      </c>
      <c r="E3" s="8" t="inlineStr">
        <is>
          <t>Available Hours</t>
        </is>
      </c>
      <c r="F3" s="8" t="inlineStr">
        <is>
          <t>Utilization</t>
        </is>
      </c>
    </row>
    <row r="4">
      <c r="A4" s="6" t="inlineStr">
        <is>
          <t>Sarah</t>
        </is>
      </c>
      <c r="B4" s="6" t="inlineStr">
        <is>
          <t>Design Lead</t>
        </is>
      </c>
      <c r="C4" s="6" t="inlineStr">
        <is>
          <t>Website, Mobile App</t>
        </is>
      </c>
      <c r="D4" s="7" t="n">
        <v>36</v>
      </c>
      <c r="E4" s="7" t="n">
        <v>40</v>
      </c>
      <c r="F4" s="10">
        <f>IF(E4&gt;0,D4/E4,0)</f>
        <v/>
      </c>
    </row>
    <row r="5">
      <c r="A5" s="11" t="inlineStr">
        <is>
          <t>Tom</t>
        </is>
      </c>
      <c r="B5" s="11" t="inlineStr">
        <is>
          <t>Frontend Dev</t>
        </is>
      </c>
      <c r="C5" s="11" t="inlineStr">
        <is>
          <t>Website, Mobile App, CRM</t>
        </is>
      </c>
      <c r="D5" s="12" t="n">
        <v>38</v>
      </c>
      <c r="E5" s="12" t="n">
        <v>40</v>
      </c>
      <c r="F5" s="14">
        <f>IF(E5&gt;0,D5/E5,0)</f>
        <v/>
      </c>
    </row>
    <row r="6">
      <c r="A6" s="6" t="inlineStr">
        <is>
          <t>Mike</t>
        </is>
      </c>
      <c r="B6" s="6" t="inlineStr">
        <is>
          <t>Backend Dev</t>
        </is>
      </c>
      <c r="C6" s="6" t="inlineStr">
        <is>
          <t>Website, Mobile App</t>
        </is>
      </c>
      <c r="D6" s="7" t="n">
        <v>32</v>
      </c>
      <c r="E6" s="7" t="n">
        <v>40</v>
      </c>
      <c r="F6" s="10">
        <f>IF(E6&gt;0,D6/E6,0)</f>
        <v/>
      </c>
    </row>
    <row r="7">
      <c r="A7" s="11" t="inlineStr">
        <is>
          <t>Lisa</t>
        </is>
      </c>
      <c r="B7" s="11" t="inlineStr">
        <is>
          <t>PM</t>
        </is>
      </c>
      <c r="C7" s="11" t="inlineStr">
        <is>
          <t>CRM, Website</t>
        </is>
      </c>
      <c r="D7" s="12" t="n">
        <v>24</v>
      </c>
      <c r="E7" s="12" t="n">
        <v>40</v>
      </c>
      <c r="F7" s="14">
        <f>IF(E7&gt;0,D7/E7,0)</f>
        <v/>
      </c>
    </row>
  </sheetData>
  <mergeCells count="1">
    <mergeCell ref="A1:F1"/>
  </mergeCells>
  <conditionalFormatting sqref="F4:F7">
    <cfRule type="cellIs" priority="1" operator="greaterThan" dxfId="4">
      <formula>0.9</formula>
    </cfRule>
    <cfRule type="cellIs" priority="2" operator="lessThanOrEqual" dxfId="5">
      <formula>0.7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5" customWidth="1" min="1" max="1"/>
    <col width="80" customWidth="1" min="2" max="2"/>
  </cols>
  <sheetData>
    <row r="1">
      <c r="A1" s="1" t="inlineStr">
        <is>
          <t>HOW TO USE YOUR PROJECT MANAGEMENT BOARD</t>
        </is>
      </c>
      <c r="B1" s="2" t="n"/>
    </row>
    <row r="3">
      <c r="B3" s="16" t="inlineStr">
        <is>
          <t>Getting Started</t>
        </is>
      </c>
    </row>
    <row r="4" ht="22" customHeight="1">
      <c r="B4" s="17" t="inlineStr">
        <is>
          <t>1. Add projects to Projects tab</t>
        </is>
      </c>
    </row>
    <row r="5" ht="22" customHeight="1">
      <c r="B5" s="17" t="inlineStr">
        <is>
          <t>2. Break work into tasks in Task Board</t>
        </is>
      </c>
    </row>
    <row r="6" ht="22" customHeight="1">
      <c r="B6" s="17" t="inlineStr">
        <is>
          <t>3. Track team in Resources</t>
        </is>
      </c>
    </row>
    <row r="7" ht="22" customHeight="1">
      <c r="B7" s="17" t="inlineStr">
        <is>
          <t>4. Log meetings in Meeting Notes</t>
        </is>
      </c>
    </row>
    <row r="8" ht="22" customHeight="1">
      <c r="B8" s="17" t="inlineStr">
        <is>
          <t>5. Monitor on Dashboard</t>
        </is>
      </c>
    </row>
    <row r="10">
      <c r="B10" s="16" t="inlineStr">
        <is>
          <t>Status Flow</t>
        </is>
      </c>
    </row>
    <row r="11" ht="22" customHeight="1">
      <c r="B11" s="17" t="inlineStr">
        <is>
          <t>To Do -&gt; In Progress -&gt; Review -&gt; Done</t>
        </is>
      </c>
    </row>
    <row r="12" ht="22" customHeight="1">
      <c r="B12" s="17" t="inlineStr">
        <is>
          <t>Update daily for accuracy</t>
        </is>
      </c>
    </row>
    <row r="14">
      <c r="B14" s="16" t="inlineStr">
        <is>
          <t>Tips</t>
        </is>
      </c>
    </row>
    <row r="15" ht="22" customHeight="1">
      <c r="B15" s="17" t="inlineStr">
        <is>
          <t>- Keep tasks 2-8 hours each</t>
        </is>
      </c>
    </row>
    <row r="16" ht="22" customHeight="1">
      <c r="B16" s="17" t="inlineStr">
        <is>
          <t>- Update % complete weekly</t>
        </is>
      </c>
    </row>
    <row r="17" ht="22" customHeight="1">
      <c r="B17" s="17" t="inlineStr">
        <is>
          <t>- Watch utilization to prevent burnout</t>
        </is>
      </c>
    </row>
    <row r="19">
      <c r="B19" s="16" t="inlineStr">
        <is>
          <t>Need Help?</t>
        </is>
      </c>
    </row>
    <row r="20" ht="22" customHeight="1">
      <c r="B20" s="17" t="inlineStr">
        <is>
          <t>Message us on Etsy!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2026-03-31T21:45:44Z</dcterms:created>
  <dcterms:modified xsi:type="dcterms:W3CDTF">2026-03-31T21:45:44Z</dcterms:modified>
</cp:coreProperties>
</file>