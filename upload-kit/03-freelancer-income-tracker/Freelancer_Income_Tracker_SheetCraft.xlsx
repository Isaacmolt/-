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lients" sheetId="2" state="visible" r:id="rId2"/>
    <sheet name="Projects" sheetId="3" state="visible" r:id="rId3"/>
    <sheet name="Invoices" sheetId="4" state="visible" r:id="rId4"/>
    <sheet name="Tax Estimator" sheetId="5" state="visible" r:id="rId5"/>
    <sheet name="Monthly Report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1"/>
    </font>
    <font>
      <name val="Calibri"/>
      <color rgb="001A1A1A"/>
      <sz val="11"/>
    </font>
    <font>
      <name val="Calibri"/>
      <b val="1"/>
      <color rgb="002D5F2D"/>
      <sz val="11"/>
    </font>
    <font>
      <name val="Calibri"/>
      <b val="1"/>
      <color rgb="001A1A1A"/>
      <sz val="14"/>
    </font>
    <font>
      <name val="Calibri"/>
      <b val="1"/>
      <color rgb="00FFFFFF"/>
      <sz val="10"/>
    </font>
    <font>
      <name val="Calibri"/>
      <b val="1"/>
      <color rgb="001A1A1A"/>
      <sz val="16"/>
    </font>
    <font>
      <name val="Calibri"/>
      <b val="1"/>
      <color rgb="002D5F2D"/>
      <sz val="13"/>
    </font>
  </fonts>
  <fills count="6">
    <fill>
      <patternFill/>
    </fill>
    <fill>
      <patternFill patternType="gray125"/>
    </fill>
    <fill>
      <patternFill patternType="solid">
        <fgColor rgb="002D5F2D"/>
        <bgColor rgb="002D5F2D"/>
      </patternFill>
    </fill>
    <fill>
      <patternFill patternType="solid">
        <fgColor rgb="00F5F0E8"/>
        <bgColor rgb="00F5F0E8"/>
      </patternFill>
    </fill>
    <fill>
      <patternFill patternType="solid">
        <fgColor rgb="00FFFFFF"/>
        <bgColor rgb="00FFFFFF"/>
      </patternFill>
    </fill>
    <fill>
      <patternFill patternType="solid">
        <fgColor rgb="00E8F0E8"/>
        <bgColor rgb="00E8F0E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2" borderId="1" applyAlignment="1" pivotButton="0" quotePrefix="0" xfId="0">
      <alignment horizontal="center" vertical="center"/>
    </xf>
    <xf numFmtId="4" fontId="7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5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3">
    <dxf>
      <font>
        <b val="1"/>
        <color rgb="002D5F2D"/>
      </font>
      <fill>
        <patternFill patternType="solid">
          <fgColor rgb="00E8F0E8"/>
          <bgColor rgb="00E8F0E8"/>
        </patternFill>
      </fill>
    </dxf>
    <dxf>
      <font>
        <color rgb="00856404"/>
      </font>
      <fill>
        <patternFill patternType="solid">
          <fgColor rgb="00FFF3CD"/>
          <bgColor rgb="00FFF3CD"/>
        </patternFill>
      </fill>
    </dxf>
    <dxf>
      <font>
        <b val="1"/>
        <color rgb="00CC4444"/>
      </font>
      <fill>
        <patternFill patternType="solid">
          <fgColor rgb="00FFE0E0"/>
          <bgColor rgb="00FFE0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Revenue by Client</a:t>
            </a:r>
          </a:p>
        </rich>
      </tx>
    </title>
    <plotArea>
      <pieChart>
        <varyColors val="1"/>
        <ser>
          <idx val="0"/>
          <order val="0"/>
          <tx>
            <strRef>
              <f>'Dashboard'!C8</f>
            </strRef>
          </tx>
          <spPr>
            <a:ln>
              <a:prstDash val="solid"/>
            </a:ln>
          </spPr>
          <cat>
            <numRef>
              <f>'Dashboard'!$B$9:$B$13</f>
            </numRef>
          </cat>
          <val>
            <numRef>
              <f>'Dashboard'!$C$9:$C$13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Revenue &amp;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Report'!B3</f>
            </strRef>
          </tx>
          <spPr>
            <a:ln>
              <a:prstDash val="solid"/>
            </a:ln>
          </spPr>
          <cat>
            <numRef>
              <f>'Monthly Report'!$A$4:$A$15</f>
            </numRef>
          </cat>
          <val>
            <numRef>
              <f>'Monthly Report'!$B$4:$B$15</f>
            </numRef>
          </val>
        </ser>
        <ser>
          <idx val="1"/>
          <order val="1"/>
          <tx>
            <strRef>
              <f>'Monthly Report'!C3</f>
            </strRef>
          </tx>
          <spPr>
            <a:ln>
              <a:prstDash val="solid"/>
            </a:ln>
          </spPr>
          <cat>
            <numRef>
              <f>'Monthly Report'!$A$4:$A$15</f>
            </numRef>
          </cat>
          <val>
            <numRef>
              <f>'Monthly Report'!$C$4:$C$15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7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FREELANCER INCOME DASHBOARD</t>
        </is>
      </c>
      <c r="B1" s="2" t="n"/>
      <c r="C1" s="2" t="n"/>
      <c r="D1" s="2" t="n"/>
      <c r="E1" s="2" t="n"/>
      <c r="F1" s="2" t="n"/>
      <c r="G1" s="2" t="n"/>
      <c r="H1" s="2" t="n"/>
    </row>
    <row r="3">
      <c r="B3" s="3" t="inlineStr">
        <is>
          <t>YTD Revenue</t>
        </is>
      </c>
      <c r="D3" s="3" t="inlineStr">
        <is>
          <t>YTD Expenses</t>
        </is>
      </c>
      <c r="F3" s="3" t="inlineStr">
        <is>
          <t>YTD Net Profit</t>
        </is>
      </c>
    </row>
    <row r="4">
      <c r="B4" s="4">
        <f>'Monthly Report'!B16</f>
        <v/>
      </c>
      <c r="D4" s="4">
        <f>'Monthly Report'!C16</f>
        <v/>
      </c>
      <c r="F4" s="4">
        <f>'Monthly Report'!D16</f>
        <v/>
      </c>
    </row>
    <row r="5">
      <c r="B5" s="3" t="inlineStr">
        <is>
          <t>Total Clients</t>
        </is>
      </c>
      <c r="D5" s="3" t="inlineStr">
        <is>
          <t>Avg Project Value</t>
        </is>
      </c>
      <c r="F5" s="3" t="inlineStr">
        <is>
          <t>Tax Set-Aside</t>
        </is>
      </c>
    </row>
    <row r="6">
      <c r="B6" s="4" t="inlineStr">
        <is>
          <t>5</t>
        </is>
      </c>
      <c r="D6" s="4">
        <f>'Monthly Report'!B16/8</f>
        <v/>
      </c>
      <c r="F6" s="4">
        <f>'Monthly Report'!E16</f>
        <v/>
      </c>
    </row>
    <row r="9">
      <c r="B9" s="5" t="inlineStr">
        <is>
          <t>Acme Corp</t>
        </is>
      </c>
      <c r="C9" s="6" t="n">
        <v>7500</v>
      </c>
    </row>
    <row r="10">
      <c r="B10" s="5" t="inlineStr">
        <is>
          <t>TechStart Inc</t>
        </is>
      </c>
      <c r="C10" s="6" t="n">
        <v>5100</v>
      </c>
    </row>
    <row r="11">
      <c r="B11" s="5" t="inlineStr">
        <is>
          <t>Green Media</t>
        </is>
      </c>
      <c r="C11" s="6" t="n">
        <v>3600</v>
      </c>
    </row>
    <row r="12">
      <c r="B12" s="5" t="inlineStr">
        <is>
          <t>BlueSky LLC</t>
        </is>
      </c>
      <c r="C12" s="6" t="n">
        <v>4500</v>
      </c>
    </row>
    <row r="13">
      <c r="B13" s="5" t="inlineStr">
        <is>
          <t>FastFood Co</t>
        </is>
      </c>
      <c r="C13" s="6" t="n">
        <v>3000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CLIENT DIRECTORY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7" t="inlineStr">
        <is>
          <t>Client Name</t>
        </is>
      </c>
      <c r="B3" s="7" t="inlineStr">
        <is>
          <t>Contact Person</t>
        </is>
      </c>
      <c r="C3" s="7" t="inlineStr">
        <is>
          <t>Email</t>
        </is>
      </c>
      <c r="D3" s="7" t="inlineStr">
        <is>
          <t>Rate Type</t>
        </is>
      </c>
      <c r="E3" s="7" t="inlineStr">
        <is>
          <t>Rate ($)</t>
        </is>
      </c>
      <c r="F3" s="7" t="inlineStr">
        <is>
          <t>Status</t>
        </is>
      </c>
      <c r="G3" s="7" t="inlineStr">
        <is>
          <t>Total Billed</t>
        </is>
      </c>
      <c r="H3" s="7" t="inlineStr">
        <is>
          <t>Notes</t>
        </is>
      </c>
    </row>
    <row r="4">
      <c r="A4" s="5" t="inlineStr">
        <is>
          <t>Acme Corp</t>
        </is>
      </c>
      <c r="B4" s="8" t="inlineStr">
        <is>
          <t>John Smith</t>
        </is>
      </c>
      <c r="C4" s="8" t="inlineStr">
        <is>
          <t>john@acme.com</t>
        </is>
      </c>
      <c r="D4" s="8" t="inlineStr">
        <is>
          <t>Project</t>
        </is>
      </c>
      <c r="E4" s="6" t="n">
        <v>2500</v>
      </c>
      <c r="F4" s="8" t="inlineStr">
        <is>
          <t>Active</t>
        </is>
      </c>
      <c r="G4" s="6" t="n">
        <v>7500</v>
      </c>
      <c r="H4" s="8" t="inlineStr">
        <is>
          <t>Web redesign</t>
        </is>
      </c>
    </row>
    <row r="5">
      <c r="A5" s="9" t="inlineStr">
        <is>
          <t>TechStart Inc</t>
        </is>
      </c>
      <c r="B5" s="10" t="inlineStr">
        <is>
          <t>Sarah Lee</t>
        </is>
      </c>
      <c r="C5" s="10" t="inlineStr">
        <is>
          <t>sarah@techstart.com</t>
        </is>
      </c>
      <c r="D5" s="10" t="inlineStr">
        <is>
          <t>Hourly</t>
        </is>
      </c>
      <c r="E5" s="11" t="n">
        <v>85</v>
      </c>
      <c r="F5" s="10" t="inlineStr">
        <is>
          <t>Active</t>
        </is>
      </c>
      <c r="G5" s="11" t="n">
        <v>5100</v>
      </c>
      <c r="H5" s="10" t="inlineStr">
        <is>
          <t>Ongoing dev</t>
        </is>
      </c>
    </row>
    <row r="6">
      <c r="A6" s="5" t="inlineStr">
        <is>
          <t>Green Media</t>
        </is>
      </c>
      <c r="B6" s="8" t="inlineStr">
        <is>
          <t>Mike Chen</t>
        </is>
      </c>
      <c r="C6" s="8" t="inlineStr">
        <is>
          <t>mike@greenmedia.com</t>
        </is>
      </c>
      <c r="D6" s="8" t="inlineStr">
        <is>
          <t>Project</t>
        </is>
      </c>
      <c r="E6" s="6" t="n">
        <v>1800</v>
      </c>
      <c r="F6" s="8" t="inlineStr">
        <is>
          <t>Active</t>
        </is>
      </c>
      <c r="G6" s="6" t="n">
        <v>3600</v>
      </c>
      <c r="H6" s="8" t="inlineStr">
        <is>
          <t>Social media</t>
        </is>
      </c>
    </row>
    <row r="7">
      <c r="A7" s="9" t="inlineStr">
        <is>
          <t>BlueSky LLC</t>
        </is>
      </c>
      <c r="B7" s="10" t="inlineStr">
        <is>
          <t>Emma Davis</t>
        </is>
      </c>
      <c r="C7" s="10" t="inlineStr">
        <is>
          <t>emma@bluesky.com</t>
        </is>
      </c>
      <c r="D7" s="10" t="inlineStr">
        <is>
          <t>Hourly</t>
        </is>
      </c>
      <c r="E7" s="11" t="n">
        <v>75</v>
      </c>
      <c r="F7" s="10" t="inlineStr">
        <is>
          <t>Active</t>
        </is>
      </c>
      <c r="G7" s="11" t="n">
        <v>4500</v>
      </c>
      <c r="H7" s="10" t="inlineStr">
        <is>
          <t>Consulting</t>
        </is>
      </c>
    </row>
    <row r="8">
      <c r="A8" s="5" t="inlineStr">
        <is>
          <t>FastFood Co</t>
        </is>
      </c>
      <c r="B8" s="8" t="inlineStr">
        <is>
          <t>Tom Wilson</t>
        </is>
      </c>
      <c r="C8" s="8" t="inlineStr">
        <is>
          <t>tom@fastfood.com</t>
        </is>
      </c>
      <c r="D8" s="8" t="inlineStr">
        <is>
          <t>Project</t>
        </is>
      </c>
      <c r="E8" s="6" t="n">
        <v>3000</v>
      </c>
      <c r="F8" s="8" t="inlineStr">
        <is>
          <t>Completed</t>
        </is>
      </c>
      <c r="G8" s="6" t="n">
        <v>3000</v>
      </c>
      <c r="H8" s="8" t="inlineStr">
        <is>
          <t>Menu redesign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PROJECT LOG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3">
      <c r="A3" s="7" t="inlineStr">
        <is>
          <t>Project</t>
        </is>
      </c>
      <c r="B3" s="7" t="inlineStr">
        <is>
          <t>Client</t>
        </is>
      </c>
      <c r="C3" s="7" t="inlineStr">
        <is>
          <t>Start Date</t>
        </is>
      </c>
      <c r="D3" s="7" t="inlineStr">
        <is>
          <t>End Date</t>
        </is>
      </c>
      <c r="E3" s="7" t="inlineStr">
        <is>
          <t>Hours</t>
        </is>
      </c>
      <c r="F3" s="7" t="inlineStr">
        <is>
          <t>Rate</t>
        </is>
      </c>
      <c r="G3" s="7" t="inlineStr">
        <is>
          <t>Total</t>
        </is>
      </c>
      <c r="H3" s="7" t="inlineStr">
        <is>
          <t>Status</t>
        </is>
      </c>
      <c r="I3" s="7" t="inlineStr">
        <is>
          <t>Invoice #</t>
        </is>
      </c>
    </row>
    <row r="4">
      <c r="A4" s="5" t="inlineStr">
        <is>
          <t>Website Redesign v1</t>
        </is>
      </c>
      <c r="B4" s="8" t="inlineStr">
        <is>
          <t>Acme Corp</t>
        </is>
      </c>
      <c r="C4" s="8" t="inlineStr">
        <is>
          <t>2026-01-05</t>
        </is>
      </c>
      <c r="D4" s="8" t="inlineStr">
        <is>
          <t>2026-01-25</t>
        </is>
      </c>
      <c r="E4" s="8" t="n">
        <v>0</v>
      </c>
      <c r="F4" s="6" t="n">
        <v>2500</v>
      </c>
      <c r="G4" s="6" t="n">
        <v>2500</v>
      </c>
      <c r="H4" s="8" t="inlineStr">
        <is>
          <t>Paid</t>
        </is>
      </c>
      <c r="I4" s="8" t="inlineStr">
        <is>
          <t>INV-001</t>
        </is>
      </c>
    </row>
    <row r="5">
      <c r="A5" s="9" t="inlineStr">
        <is>
          <t>Website Redesign v2</t>
        </is>
      </c>
      <c r="B5" s="10" t="inlineStr">
        <is>
          <t>Acme Corp</t>
        </is>
      </c>
      <c r="C5" s="10" t="inlineStr">
        <is>
          <t>2026-02-01</t>
        </is>
      </c>
      <c r="D5" s="10" t="inlineStr">
        <is>
          <t>2026-02-20</t>
        </is>
      </c>
      <c r="E5" s="10" t="n">
        <v>0</v>
      </c>
      <c r="F5" s="11" t="n">
        <v>2500</v>
      </c>
      <c r="G5" s="11" t="n">
        <v>2500</v>
      </c>
      <c r="H5" s="10" t="inlineStr">
        <is>
          <t>Paid</t>
        </is>
      </c>
      <c r="I5" s="10" t="inlineStr">
        <is>
          <t>INV-004</t>
        </is>
      </c>
    </row>
    <row r="6">
      <c r="A6" s="5" t="inlineStr">
        <is>
          <t>App Development</t>
        </is>
      </c>
      <c r="B6" s="8" t="inlineStr">
        <is>
          <t>TechStart Inc</t>
        </is>
      </c>
      <c r="C6" s="8" t="inlineStr">
        <is>
          <t>2026-01-10</t>
        </is>
      </c>
      <c r="D6" s="8" t="inlineStr">
        <is>
          <t>2026-02-28</t>
        </is>
      </c>
      <c r="E6" s="8" t="n">
        <v>60</v>
      </c>
      <c r="F6" s="6" t="n">
        <v>85</v>
      </c>
      <c r="G6" s="6" t="n">
        <v>5100</v>
      </c>
      <c r="H6" s="8" t="inlineStr">
        <is>
          <t>Paid</t>
        </is>
      </c>
      <c r="I6" s="8" t="inlineStr">
        <is>
          <t>INV-002</t>
        </is>
      </c>
    </row>
    <row r="7">
      <c r="A7" s="9" t="inlineStr">
        <is>
          <t>Social Campaign Q1</t>
        </is>
      </c>
      <c r="B7" s="10" t="inlineStr">
        <is>
          <t>Green Media</t>
        </is>
      </c>
      <c r="C7" s="10" t="inlineStr">
        <is>
          <t>2026-01-15</t>
        </is>
      </c>
      <c r="D7" s="10" t="inlineStr">
        <is>
          <t>2026-02-15</t>
        </is>
      </c>
      <c r="E7" s="10" t="n">
        <v>0</v>
      </c>
      <c r="F7" s="11" t="n">
        <v>1800</v>
      </c>
      <c r="G7" s="11" t="n">
        <v>1800</v>
      </c>
      <c r="H7" s="10" t="inlineStr">
        <is>
          <t>Paid</t>
        </is>
      </c>
      <c r="I7" s="10" t="inlineStr">
        <is>
          <t>INV-003</t>
        </is>
      </c>
    </row>
    <row r="8">
      <c r="A8" s="5" t="inlineStr">
        <is>
          <t>Social Campaign Q2</t>
        </is>
      </c>
      <c r="B8" s="8" t="inlineStr">
        <is>
          <t>Green Media</t>
        </is>
      </c>
      <c r="C8" s="8" t="inlineStr">
        <is>
          <t>2026-03-01</t>
        </is>
      </c>
      <c r="D8" s="8" t="inlineStr">
        <is>
          <t>2026-03-31</t>
        </is>
      </c>
      <c r="E8" s="8" t="n">
        <v>0</v>
      </c>
      <c r="F8" s="6" t="n">
        <v>1800</v>
      </c>
      <c r="G8" s="6" t="n">
        <v>1800</v>
      </c>
      <c r="H8" s="8" t="inlineStr">
        <is>
          <t>Invoiced</t>
        </is>
      </c>
      <c r="I8" s="8" t="inlineStr">
        <is>
          <t>INV-006</t>
        </is>
      </c>
    </row>
    <row r="9">
      <c r="A9" s="9" t="inlineStr">
        <is>
          <t>Strategy Consult</t>
        </is>
      </c>
      <c r="B9" s="10" t="inlineStr">
        <is>
          <t>BlueSky LLC</t>
        </is>
      </c>
      <c r="C9" s="10" t="inlineStr">
        <is>
          <t>2026-01-20</t>
        </is>
      </c>
      <c r="D9" s="10" t="inlineStr">
        <is>
          <t>2026-03-20</t>
        </is>
      </c>
      <c r="E9" s="10" t="n">
        <v>60</v>
      </c>
      <c r="F9" s="11" t="n">
        <v>75</v>
      </c>
      <c r="G9" s="11" t="n">
        <v>4500</v>
      </c>
      <c r="H9" s="10" t="inlineStr">
        <is>
          <t>Invoiced</t>
        </is>
      </c>
      <c r="I9" s="10" t="inlineStr">
        <is>
          <t>INV-005</t>
        </is>
      </c>
    </row>
    <row r="10">
      <c r="A10" s="5" t="inlineStr">
        <is>
          <t>Menu Design</t>
        </is>
      </c>
      <c r="B10" s="8" t="inlineStr">
        <is>
          <t>FastFood Co</t>
        </is>
      </c>
      <c r="C10" s="8" t="inlineStr">
        <is>
          <t>2026-02-10</t>
        </is>
      </c>
      <c r="D10" s="8" t="inlineStr">
        <is>
          <t>2026-03-10</t>
        </is>
      </c>
      <c r="E10" s="8" t="n">
        <v>0</v>
      </c>
      <c r="F10" s="6" t="n">
        <v>3000</v>
      </c>
      <c r="G10" s="6" t="n">
        <v>3000</v>
      </c>
      <c r="H10" s="8" t="inlineStr">
        <is>
          <t>Paid</t>
        </is>
      </c>
      <c r="I10" s="8" t="inlineStr">
        <is>
          <t>INV-007</t>
        </is>
      </c>
    </row>
    <row r="11">
      <c r="A11" s="9" t="inlineStr">
        <is>
          <t>Website Redesign v3</t>
        </is>
      </c>
      <c r="B11" s="10" t="inlineStr">
        <is>
          <t>Acme Corp</t>
        </is>
      </c>
      <c r="C11" s="10" t="inlineStr">
        <is>
          <t>2026-03-15</t>
        </is>
      </c>
      <c r="D11" s="10" t="inlineStr"/>
      <c r="E11" s="10" t="n">
        <v>0</v>
      </c>
      <c r="F11" s="11" t="n">
        <v>2500</v>
      </c>
      <c r="G11" s="11" t="n">
        <v>2500</v>
      </c>
      <c r="H11" s="10" t="inlineStr">
        <is>
          <t>Pending</t>
        </is>
      </c>
      <c r="I11" s="10" t="inlineStr"/>
    </row>
    <row r="12">
      <c r="A12" s="12" t="inlineStr">
        <is>
          <t>TOTAL</t>
        </is>
      </c>
      <c r="B12" s="12" t="n"/>
      <c r="C12" s="12" t="n"/>
      <c r="D12" s="12" t="n"/>
      <c r="E12" s="12" t="n"/>
      <c r="F12" s="12" t="n"/>
      <c r="G12" s="13">
        <f>SUM(G4:G11)</f>
        <v/>
      </c>
      <c r="H12" s="12" t="n"/>
      <c r="I12" s="12" t="n"/>
    </row>
  </sheetData>
  <mergeCells count="1">
    <mergeCell ref="A1:I1"/>
  </mergeCells>
  <conditionalFormatting sqref="H4:H11">
    <cfRule type="cellIs" priority="1" operator="equal" dxfId="0">
      <formula>"Paid"</formula>
    </cfRule>
    <cfRule type="cellIs" priority="2" operator="equal" dxfId="1">
      <formula>"Pending"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INVOICE TRACKER</t>
        </is>
      </c>
      <c r="B1" s="2" t="n"/>
      <c r="C1" s="2" t="n"/>
      <c r="D1" s="2" t="n"/>
      <c r="E1" s="2" t="n"/>
      <c r="F1" s="2" t="n"/>
      <c r="G1" s="2" t="n"/>
    </row>
    <row r="3">
      <c r="A3" s="7" t="inlineStr">
        <is>
          <t>Invoice #</t>
        </is>
      </c>
      <c r="B3" s="7" t="inlineStr">
        <is>
          <t>Client</t>
        </is>
      </c>
      <c r="C3" s="7" t="inlineStr">
        <is>
          <t>Amount</t>
        </is>
      </c>
      <c r="D3" s="7" t="inlineStr">
        <is>
          <t>Date Sent</t>
        </is>
      </c>
      <c r="E3" s="7" t="inlineStr">
        <is>
          <t>Due Date</t>
        </is>
      </c>
      <c r="F3" s="7" t="inlineStr">
        <is>
          <t>Date Paid</t>
        </is>
      </c>
      <c r="G3" s="7" t="inlineStr">
        <is>
          <t>Status</t>
        </is>
      </c>
    </row>
    <row r="4">
      <c r="A4" s="8" t="inlineStr">
        <is>
          <t>INV-001</t>
        </is>
      </c>
      <c r="B4" s="8" t="inlineStr">
        <is>
          <t>Acme Corp</t>
        </is>
      </c>
      <c r="C4" s="6" t="n">
        <v>2500</v>
      </c>
      <c r="D4" s="8" t="inlineStr">
        <is>
          <t>2026-01-26</t>
        </is>
      </c>
      <c r="E4" s="8" t="inlineStr">
        <is>
          <t>2026-02-25</t>
        </is>
      </c>
      <c r="F4" s="8" t="inlineStr">
        <is>
          <t>2026-02-10</t>
        </is>
      </c>
      <c r="G4" s="8" t="inlineStr">
        <is>
          <t>Paid</t>
        </is>
      </c>
    </row>
    <row r="5">
      <c r="A5" s="10" t="inlineStr">
        <is>
          <t>INV-002</t>
        </is>
      </c>
      <c r="B5" s="10" t="inlineStr">
        <is>
          <t>TechStart Inc</t>
        </is>
      </c>
      <c r="C5" s="11" t="n">
        <v>5100</v>
      </c>
      <c r="D5" s="10" t="inlineStr">
        <is>
          <t>2026-03-01</t>
        </is>
      </c>
      <c r="E5" s="10" t="inlineStr">
        <is>
          <t>2026-03-31</t>
        </is>
      </c>
      <c r="F5" s="10" t="inlineStr">
        <is>
          <t>2026-03-15</t>
        </is>
      </c>
      <c r="G5" s="10" t="inlineStr">
        <is>
          <t>Paid</t>
        </is>
      </c>
    </row>
    <row r="6">
      <c r="A6" s="8" t="inlineStr">
        <is>
          <t>INV-003</t>
        </is>
      </c>
      <c r="B6" s="8" t="inlineStr">
        <is>
          <t>Green Media</t>
        </is>
      </c>
      <c r="C6" s="6" t="n">
        <v>1800</v>
      </c>
      <c r="D6" s="8" t="inlineStr">
        <is>
          <t>2026-02-16</t>
        </is>
      </c>
      <c r="E6" s="8" t="inlineStr">
        <is>
          <t>2026-03-16</t>
        </is>
      </c>
      <c r="F6" s="8" t="inlineStr">
        <is>
          <t>2026-03-01</t>
        </is>
      </c>
      <c r="G6" s="8" t="inlineStr">
        <is>
          <t>Paid</t>
        </is>
      </c>
    </row>
    <row r="7">
      <c r="A7" s="10" t="inlineStr">
        <is>
          <t>INV-004</t>
        </is>
      </c>
      <c r="B7" s="10" t="inlineStr">
        <is>
          <t>Acme Corp</t>
        </is>
      </c>
      <c r="C7" s="11" t="n">
        <v>2500</v>
      </c>
      <c r="D7" s="10" t="inlineStr">
        <is>
          <t>2026-02-21</t>
        </is>
      </c>
      <c r="E7" s="10" t="inlineStr">
        <is>
          <t>2026-03-21</t>
        </is>
      </c>
      <c r="F7" s="10" t="inlineStr">
        <is>
          <t>2026-03-10</t>
        </is>
      </c>
      <c r="G7" s="10" t="inlineStr">
        <is>
          <t>Paid</t>
        </is>
      </c>
    </row>
    <row r="8">
      <c r="A8" s="8" t="inlineStr">
        <is>
          <t>INV-005</t>
        </is>
      </c>
      <c r="B8" s="8" t="inlineStr">
        <is>
          <t>BlueSky LLC</t>
        </is>
      </c>
      <c r="C8" s="6" t="n">
        <v>4500</v>
      </c>
      <c r="D8" s="8" t="inlineStr">
        <is>
          <t>2026-03-21</t>
        </is>
      </c>
      <c r="E8" s="8" t="inlineStr">
        <is>
          <t>2026-04-20</t>
        </is>
      </c>
      <c r="F8" s="8" t="inlineStr"/>
      <c r="G8" s="8" t="inlineStr">
        <is>
          <t>Sent</t>
        </is>
      </c>
    </row>
    <row r="9">
      <c r="A9" s="10" t="inlineStr">
        <is>
          <t>INV-006</t>
        </is>
      </c>
      <c r="B9" s="10" t="inlineStr">
        <is>
          <t>Green Media</t>
        </is>
      </c>
      <c r="C9" s="11" t="n">
        <v>1800</v>
      </c>
      <c r="D9" s="10" t="inlineStr">
        <is>
          <t>2026-04-01</t>
        </is>
      </c>
      <c r="E9" s="10" t="inlineStr">
        <is>
          <t>2026-05-01</t>
        </is>
      </c>
      <c r="F9" s="10" t="inlineStr"/>
      <c r="G9" s="10" t="inlineStr">
        <is>
          <t>Sent</t>
        </is>
      </c>
    </row>
    <row r="10">
      <c r="A10" s="8" t="inlineStr">
        <is>
          <t>INV-007</t>
        </is>
      </c>
      <c r="B10" s="8" t="inlineStr">
        <is>
          <t>FastFood Co</t>
        </is>
      </c>
      <c r="C10" s="6" t="n">
        <v>3000</v>
      </c>
      <c r="D10" s="8" t="inlineStr">
        <is>
          <t>2026-03-11</t>
        </is>
      </c>
      <c r="E10" s="8" t="inlineStr">
        <is>
          <t>2026-04-10</t>
        </is>
      </c>
      <c r="F10" s="8" t="inlineStr">
        <is>
          <t>2026-03-28</t>
        </is>
      </c>
      <c r="G10" s="8" t="inlineStr">
        <is>
          <t>Paid</t>
        </is>
      </c>
    </row>
    <row r="11">
      <c r="A11" s="12" t="inlineStr">
        <is>
          <t>TOTAL</t>
        </is>
      </c>
      <c r="B11" s="12" t="n"/>
      <c r="C11" s="13">
        <f>SUM(C4:C10)</f>
        <v/>
      </c>
      <c r="D11" s="12" t="n"/>
      <c r="E11" s="12" t="n"/>
      <c r="F11" s="12" t="n"/>
      <c r="G11" s="12" t="n"/>
    </row>
  </sheetData>
  <mergeCells count="1">
    <mergeCell ref="A1:G1"/>
  </mergeCells>
  <conditionalFormatting sqref="G4:G10">
    <cfRule type="cellIs" priority="1" operator="equal" dxfId="0">
      <formula>"Paid"</formula>
    </cfRule>
    <cfRule type="cellIs" priority="2" operator="equal" dxfId="2">
      <formula>"Overdue"</formula>
    </cfRule>
    <cfRule type="cellIs" priority="3" operator="equal" dxfId="1">
      <formula>"Sent"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QUARTERLY TAX ESTIMATOR</t>
        </is>
      </c>
      <c r="B1" s="2" t="n"/>
      <c r="C1" s="2" t="n"/>
      <c r="D1" s="2" t="n"/>
      <c r="E1" s="2" t="n"/>
    </row>
    <row r="3">
      <c r="A3" s="14" t="inlineStr">
        <is>
          <t>Estimated Tax Rate:</t>
        </is>
      </c>
      <c r="B3" s="15" t="n">
        <v>0.25</v>
      </c>
    </row>
    <row r="5">
      <c r="A5" s="7" t="inlineStr">
        <is>
          <t>Quarter</t>
        </is>
      </c>
      <c r="B5" s="7" t="inlineStr">
        <is>
          <t>Gross Income</t>
        </is>
      </c>
      <c r="C5" s="7" t="inlineStr">
        <is>
          <t>Estimated Tax</t>
        </is>
      </c>
      <c r="D5" s="7" t="inlineStr">
        <is>
          <t>Due Date</t>
        </is>
      </c>
      <c r="E5" s="7" t="inlineStr">
        <is>
          <t>Status</t>
        </is>
      </c>
    </row>
    <row r="6">
      <c r="A6" s="8" t="inlineStr">
        <is>
          <t>Q1 (Jan-Mar)</t>
        </is>
      </c>
      <c r="B6" s="6" t="n">
        <v>23700</v>
      </c>
      <c r="C6" s="6">
        <f>B6*$B$3</f>
        <v/>
      </c>
      <c r="D6" s="8" t="inlineStr">
        <is>
          <t>2026-04-15</t>
        </is>
      </c>
      <c r="E6" s="8" t="inlineStr">
        <is>
          <t>Upcoming</t>
        </is>
      </c>
    </row>
    <row r="7">
      <c r="A7" s="10" t="inlineStr">
        <is>
          <t>Q2 (Apr-Jun)</t>
        </is>
      </c>
      <c r="B7" s="11" t="n">
        <v>0</v>
      </c>
      <c r="C7" s="11">
        <f>B7*$B$3</f>
        <v/>
      </c>
      <c r="D7" s="10" t="inlineStr">
        <is>
          <t>2026-06-15</t>
        </is>
      </c>
      <c r="E7" s="10" t="inlineStr">
        <is>
          <t>Pending</t>
        </is>
      </c>
    </row>
    <row r="8">
      <c r="A8" s="8" t="inlineStr">
        <is>
          <t>Q3 (Jul-Sep)</t>
        </is>
      </c>
      <c r="B8" s="6" t="n">
        <v>0</v>
      </c>
      <c r="C8" s="6">
        <f>B8*$B$3</f>
        <v/>
      </c>
      <c r="D8" s="8" t="inlineStr">
        <is>
          <t>2026-09-15</t>
        </is>
      </c>
      <c r="E8" s="8" t="inlineStr">
        <is>
          <t>Pending</t>
        </is>
      </c>
    </row>
    <row r="9">
      <c r="A9" s="10" t="inlineStr">
        <is>
          <t>Q4 (Oct-Dec)</t>
        </is>
      </c>
      <c r="B9" s="11" t="n">
        <v>0</v>
      </c>
      <c r="C9" s="11">
        <f>B9*$B$3</f>
        <v/>
      </c>
      <c r="D9" s="10" t="inlineStr">
        <is>
          <t>2027-01-15</t>
        </is>
      </c>
      <c r="E9" s="10" t="inlineStr">
        <is>
          <t>Pending</t>
        </is>
      </c>
    </row>
    <row r="10">
      <c r="A10" s="12" t="inlineStr">
        <is>
          <t>ANNUAL TOTAL</t>
        </is>
      </c>
      <c r="B10" s="13">
        <f>SUM(B6:B9)</f>
        <v/>
      </c>
      <c r="C10" s="13">
        <f>SUM(C6:C9)</f>
        <v/>
      </c>
      <c r="D10" s="12" t="n"/>
      <c r="E10" s="12" t="n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MONTHLY INCOME REPORT</t>
        </is>
      </c>
      <c r="B1" s="2" t="n"/>
      <c r="C1" s="2" t="n"/>
      <c r="D1" s="2" t="n"/>
      <c r="E1" s="2" t="n"/>
      <c r="F1" s="2" t="n"/>
    </row>
    <row r="3">
      <c r="A3" s="7" t="inlineStr">
        <is>
          <t>Month</t>
        </is>
      </c>
      <c r="B3" s="7" t="inlineStr">
        <is>
          <t>Revenue</t>
        </is>
      </c>
      <c r="C3" s="7" t="inlineStr">
        <is>
          <t>Business Expenses</t>
        </is>
      </c>
      <c r="D3" s="7" t="inlineStr">
        <is>
          <t>Net Profit</t>
        </is>
      </c>
      <c r="E3" s="7" t="inlineStr">
        <is>
          <t>Tax Set-Aside</t>
        </is>
      </c>
      <c r="F3" s="7" t="inlineStr">
        <is>
          <t>Take-Home</t>
        </is>
      </c>
    </row>
    <row r="4">
      <c r="A4" s="8" t="inlineStr">
        <is>
          <t>January</t>
        </is>
      </c>
      <c r="B4" s="6" t="n">
        <v>4300</v>
      </c>
      <c r="C4" s="6" t="n">
        <v>350</v>
      </c>
      <c r="D4" s="6">
        <f>B4-C4</f>
        <v/>
      </c>
      <c r="E4" s="6">
        <f>D4*'Tax Estimator'!$B$3</f>
        <v/>
      </c>
      <c r="F4" s="6">
        <f>D4-E4</f>
        <v/>
      </c>
    </row>
    <row r="5">
      <c r="A5" s="10" t="inlineStr">
        <is>
          <t>February</t>
        </is>
      </c>
      <c r="B5" s="11" t="n">
        <v>6800</v>
      </c>
      <c r="C5" s="11" t="n">
        <v>420</v>
      </c>
      <c r="D5" s="11">
        <f>B5-C5</f>
        <v/>
      </c>
      <c r="E5" s="11">
        <f>D5*'Tax Estimator'!$B$3</f>
        <v/>
      </c>
      <c r="F5" s="11">
        <f>D5-E5</f>
        <v/>
      </c>
    </row>
    <row r="6">
      <c r="A6" s="8" t="inlineStr">
        <is>
          <t>March</t>
        </is>
      </c>
      <c r="B6" s="6" t="n">
        <v>12600</v>
      </c>
      <c r="C6" s="6" t="n">
        <v>580</v>
      </c>
      <c r="D6" s="6">
        <f>B6-C6</f>
        <v/>
      </c>
      <c r="E6" s="6">
        <f>D6*'Tax Estimator'!$B$3</f>
        <v/>
      </c>
      <c r="F6" s="6">
        <f>D6-E6</f>
        <v/>
      </c>
    </row>
    <row r="7">
      <c r="A7" s="10" t="inlineStr">
        <is>
          <t>April</t>
        </is>
      </c>
      <c r="B7" s="11" t="n">
        <v>0</v>
      </c>
      <c r="C7" s="11" t="n">
        <v>200</v>
      </c>
      <c r="D7" s="11">
        <f>B7-C7</f>
        <v/>
      </c>
      <c r="E7" s="11">
        <f>D7*'Tax Estimator'!$B$3</f>
        <v/>
      </c>
      <c r="F7" s="11">
        <f>D7-E7</f>
        <v/>
      </c>
    </row>
    <row r="8">
      <c r="A8" s="8" t="inlineStr">
        <is>
          <t>May</t>
        </is>
      </c>
      <c r="B8" s="6" t="n">
        <v>0</v>
      </c>
      <c r="C8" s="6" t="n">
        <v>200</v>
      </c>
      <c r="D8" s="6">
        <f>B8-C8</f>
        <v/>
      </c>
      <c r="E8" s="6">
        <f>D8*'Tax Estimator'!$B$3</f>
        <v/>
      </c>
      <c r="F8" s="6">
        <f>D8-E8</f>
        <v/>
      </c>
    </row>
    <row r="9">
      <c r="A9" s="10" t="inlineStr">
        <is>
          <t>June</t>
        </is>
      </c>
      <c r="B9" s="11" t="n">
        <v>0</v>
      </c>
      <c r="C9" s="11" t="n">
        <v>200</v>
      </c>
      <c r="D9" s="11">
        <f>B9-C9</f>
        <v/>
      </c>
      <c r="E9" s="11">
        <f>D9*'Tax Estimator'!$B$3</f>
        <v/>
      </c>
      <c r="F9" s="11">
        <f>D9-E9</f>
        <v/>
      </c>
    </row>
    <row r="10">
      <c r="A10" s="8" t="inlineStr">
        <is>
          <t>July</t>
        </is>
      </c>
      <c r="B10" s="6" t="n">
        <v>0</v>
      </c>
      <c r="C10" s="6" t="n">
        <v>200</v>
      </c>
      <c r="D10" s="6">
        <f>B10-C10</f>
        <v/>
      </c>
      <c r="E10" s="6">
        <f>D10*'Tax Estimator'!$B$3</f>
        <v/>
      </c>
      <c r="F10" s="6">
        <f>D10-E10</f>
        <v/>
      </c>
    </row>
    <row r="11">
      <c r="A11" s="10" t="inlineStr">
        <is>
          <t>August</t>
        </is>
      </c>
      <c r="B11" s="11" t="n">
        <v>0</v>
      </c>
      <c r="C11" s="11" t="n">
        <v>200</v>
      </c>
      <c r="D11" s="11">
        <f>B11-C11</f>
        <v/>
      </c>
      <c r="E11" s="11">
        <f>D11*'Tax Estimator'!$B$3</f>
        <v/>
      </c>
      <c r="F11" s="11">
        <f>D11-E11</f>
        <v/>
      </c>
    </row>
    <row r="12">
      <c r="A12" s="8" t="inlineStr">
        <is>
          <t>September</t>
        </is>
      </c>
      <c r="B12" s="6" t="n">
        <v>0</v>
      </c>
      <c r="C12" s="6" t="n">
        <v>200</v>
      </c>
      <c r="D12" s="6">
        <f>B12-C12</f>
        <v/>
      </c>
      <c r="E12" s="6">
        <f>D12*'Tax Estimator'!$B$3</f>
        <v/>
      </c>
      <c r="F12" s="6">
        <f>D12-E12</f>
        <v/>
      </c>
    </row>
    <row r="13">
      <c r="A13" s="10" t="inlineStr">
        <is>
          <t>October</t>
        </is>
      </c>
      <c r="B13" s="11" t="n">
        <v>0</v>
      </c>
      <c r="C13" s="11" t="n">
        <v>200</v>
      </c>
      <c r="D13" s="11">
        <f>B13-C13</f>
        <v/>
      </c>
      <c r="E13" s="11">
        <f>D13*'Tax Estimator'!$B$3</f>
        <v/>
      </c>
      <c r="F13" s="11">
        <f>D13-E13</f>
        <v/>
      </c>
    </row>
    <row r="14">
      <c r="A14" s="8" t="inlineStr">
        <is>
          <t>November</t>
        </is>
      </c>
      <c r="B14" s="6" t="n">
        <v>0</v>
      </c>
      <c r="C14" s="6" t="n">
        <v>200</v>
      </c>
      <c r="D14" s="6">
        <f>B14-C14</f>
        <v/>
      </c>
      <c r="E14" s="6">
        <f>D14*'Tax Estimator'!$B$3</f>
        <v/>
      </c>
      <c r="F14" s="6">
        <f>D14-E14</f>
        <v/>
      </c>
    </row>
    <row r="15">
      <c r="A15" s="10" t="inlineStr">
        <is>
          <t>December</t>
        </is>
      </c>
      <c r="B15" s="11" t="n">
        <v>0</v>
      </c>
      <c r="C15" s="11" t="n">
        <v>200</v>
      </c>
      <c r="D15" s="11">
        <f>B15-C15</f>
        <v/>
      </c>
      <c r="E15" s="11">
        <f>D15*'Tax Estimator'!$B$3</f>
        <v/>
      </c>
      <c r="F15" s="11">
        <f>D15-E15</f>
        <v/>
      </c>
    </row>
    <row r="16">
      <c r="A16" s="12" t="inlineStr">
        <is>
          <t>TOTAL</t>
        </is>
      </c>
      <c r="B16" s="13">
        <f>SUM(B4:B15)</f>
        <v/>
      </c>
      <c r="C16" s="13">
        <f>SUM(C4:C15)</f>
        <v/>
      </c>
      <c r="D16" s="13">
        <f>SUM(D4:D15)</f>
        <v/>
      </c>
      <c r="E16" s="13">
        <f>SUM(E4:E15)</f>
        <v/>
      </c>
      <c r="F16" s="13">
        <f>SUM(F4:F15)</f>
        <v/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</cols>
  <sheetData>
    <row r="1">
      <c r="A1" s="1" t="inlineStr">
        <is>
          <t>HOW TO USE YOUR FREELANCER INCOME TRACKER</t>
        </is>
      </c>
      <c r="B1" s="2" t="n"/>
    </row>
    <row r="3">
      <c r="B3" s="16" t="inlineStr">
        <is>
          <t>Getting Started</t>
        </is>
      </c>
    </row>
    <row r="4" ht="22" customHeight="1">
      <c r="B4" s="17" t="inlineStr">
        <is>
          <t>1. Add your clients in the 'Clients' tab</t>
        </is>
      </c>
    </row>
    <row r="5" ht="22" customHeight="1">
      <c r="B5" s="17" t="inlineStr">
        <is>
          <t>2. Log your projects in the 'Projects' tab</t>
        </is>
      </c>
    </row>
    <row r="6" ht="22" customHeight="1">
      <c r="B6" s="17" t="inlineStr">
        <is>
          <t>3. Track invoices in the 'Invoices' tab</t>
        </is>
      </c>
    </row>
    <row r="7" ht="22" customHeight="1">
      <c r="B7" s="17" t="inlineStr">
        <is>
          <t>4. Set your tax rate in 'Tax Estimator'</t>
        </is>
      </c>
    </row>
    <row r="8" ht="22" customHeight="1">
      <c r="B8" s="17" t="inlineStr">
        <is>
          <t>5. Check Dashboard for your complete overview!</t>
        </is>
      </c>
    </row>
    <row r="10">
      <c r="B10" s="16" t="inlineStr">
        <is>
          <t>Monthly Routine</t>
        </is>
      </c>
    </row>
    <row r="11" ht="22" customHeight="1">
      <c r="B11" s="17" t="inlineStr">
        <is>
          <t>- Log all new projects and update statuses</t>
        </is>
      </c>
    </row>
    <row r="12" ht="22" customHeight="1">
      <c r="B12" s="17" t="inlineStr">
        <is>
          <t>- Send invoices promptly and track in Invoices tab</t>
        </is>
      </c>
    </row>
    <row r="13" ht="22" customHeight="1">
      <c r="B13" s="17" t="inlineStr">
        <is>
          <t>- Update Monthly Report with actual revenue</t>
        </is>
      </c>
    </row>
    <row r="14" ht="22" customHeight="1">
      <c r="B14" s="17" t="inlineStr">
        <is>
          <t>- Review tax set-aside quarterly</t>
        </is>
      </c>
    </row>
    <row r="16">
      <c r="B16" s="16" t="inlineStr">
        <is>
          <t>Tips</t>
        </is>
      </c>
    </row>
    <row r="17" ht="22" customHeight="1">
      <c r="B17" s="17" t="inlineStr">
        <is>
          <t>- Keep invoice numbers sequential (INV-001, INV-002...)</t>
        </is>
      </c>
    </row>
    <row r="18" ht="22" customHeight="1">
      <c r="B18" s="17" t="inlineStr">
        <is>
          <t>- Update project status as soon as payment is received</t>
        </is>
      </c>
    </row>
    <row r="19" ht="22" customHeight="1">
      <c r="B19" s="17" t="inlineStr">
        <is>
          <t>- Review Dashboard weekly to track cash flow</t>
        </is>
      </c>
    </row>
    <row r="20" ht="22" customHeight="1">
      <c r="B20" s="17" t="inlineStr">
        <is>
          <t>- Set aside tax money in a separate account</t>
        </is>
      </c>
    </row>
    <row r="22">
      <c r="B22" s="16" t="inlineStr">
        <is>
          <t>Need Help?</t>
        </is>
      </c>
    </row>
    <row r="23" ht="22" customHeight="1">
      <c r="B23" s="17" t="inlineStr">
        <is>
          <t>Message us on Etsy — happy to help!</t>
        </is>
      </c>
    </row>
    <row r="24" ht="22" customHeight="1">
      <c r="B24" s="17" t="inlineStr">
        <is>
          <t>Thank you for your purchase!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2026-03-31T21:14:21Z</dcterms:created>
  <dcterms:modified xsi:type="dcterms:W3CDTF">2026-03-31T21:14:21Z</dcterms:modified>
</cp:coreProperties>
</file>