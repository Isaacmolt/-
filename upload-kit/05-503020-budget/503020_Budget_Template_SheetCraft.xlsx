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eeds" sheetId="2" state="visible" r:id="rId2"/>
    <sheet name="Wants" sheetId="3" state="visible" r:id="rId3"/>
    <sheet name="Savings" sheetId="4" state="visible" r:id="rId4"/>
    <sheet name="Monthly Summary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2D5F2D"/>
      <sz val="12"/>
    </font>
    <font>
      <name val="Calibri"/>
      <b val="1"/>
      <color rgb="001A1A1A"/>
      <sz val="16"/>
    </font>
    <font>
      <name val="Calibri"/>
      <b val="1"/>
      <color rgb="002D5F2D"/>
      <sz val="11"/>
    </font>
    <font>
      <name val="Calibri"/>
      <b val="1"/>
      <color rgb="00FFFFFF"/>
      <sz val="10"/>
    </font>
    <font>
      <name val="Calibri"/>
      <b val="1"/>
      <color rgb="002D5F2D"/>
      <sz val="13"/>
    </font>
    <font>
      <name val="Calibri"/>
      <b val="1"/>
      <color rgb="001A1A1A"/>
      <sz val="13"/>
    </font>
    <font>
      <name val="Calibri"/>
      <color rgb="001A1A1A"/>
      <sz val="11"/>
    </font>
    <font>
      <name val="Calibri"/>
      <b val="1"/>
      <color rgb="001A1A1A"/>
      <sz val="14"/>
    </font>
    <font>
      <name val="Calibri"/>
      <b val="1"/>
      <color rgb="002D5F2D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E8F0E8"/>
        <bgColor rgb="00E8F0E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4" fontId="8" fillId="3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00CC4444"/>
      </font>
      <fill>
        <patternFill patternType="solid">
          <fgColor rgb="00FFE0E0"/>
          <bgColor rgb="00FFE0E0"/>
        </patternFill>
      </fill>
    </dxf>
    <dxf>
      <font>
        <b val="1"/>
        <color rgb="002D5F2D"/>
      </font>
      <fill>
        <patternFill patternType="solid">
          <fgColor rgb="00E8F0E8"/>
          <bgColor rgb="00E8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cat>
            <numRef>
              <f>'Dashboard'!$A$12:$A$14</f>
            </numRef>
          </cat>
          <val>
            <numRef>
              <f>'Dashboard'!$B$12:$B$14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Summary'!$C$4:$C$15</f>
            </numRef>
          </val>
        </ser>
        <ser>
          <idx val="1"/>
          <order val="1"/>
          <tx>
            <strRef>
              <f>'Monthly Summary'!D3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Summary'!$D$4:$D$15</f>
            </numRef>
          </val>
        </ser>
        <ser>
          <idx val="2"/>
          <order val="2"/>
          <tx>
            <strRef>
              <f>'Monthly Summary'!E3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50 / 30 / 20 BUDGET DASHBOARD</t>
        </is>
      </c>
      <c r="B1" s="2" t="n"/>
      <c r="C1" s="2" t="n"/>
      <c r="D1" s="2" t="n"/>
      <c r="E1" s="2" t="n"/>
      <c r="F1" s="2" t="n"/>
      <c r="G1" s="2" t="n"/>
    </row>
    <row r="3">
      <c r="A3" s="3" t="inlineStr">
        <is>
          <t>Monthly Income:</t>
        </is>
      </c>
      <c r="B3" s="4" t="n">
        <v>5000</v>
      </c>
    </row>
    <row r="5">
      <c r="A5" s="5" t="inlineStr">
        <is>
          <t>NEEDS (50%)</t>
        </is>
      </c>
      <c r="B5" s="6" t="inlineStr">
        <is>
          <t>Target</t>
        </is>
      </c>
      <c r="C5" s="7">
        <f>B3*0.5</f>
        <v/>
      </c>
      <c r="D5" s="6" t="inlineStr">
        <is>
          <t>Actual</t>
        </is>
      </c>
      <c r="E5" s="8">
        <f>Needs!B3</f>
        <v/>
      </c>
      <c r="F5" s="6" t="inlineStr">
        <is>
          <t>Remaining</t>
        </is>
      </c>
      <c r="G5" s="8">
        <f>C5-E5</f>
        <v/>
      </c>
    </row>
    <row r="7">
      <c r="A7" s="5" t="inlineStr">
        <is>
          <t>WANTS (30%)</t>
        </is>
      </c>
      <c r="B7" s="6" t="inlineStr">
        <is>
          <t>Target</t>
        </is>
      </c>
      <c r="C7" s="7">
        <f>B3*0.3</f>
        <v/>
      </c>
      <c r="D7" s="6" t="inlineStr">
        <is>
          <t>Actual</t>
        </is>
      </c>
      <c r="E7" s="8">
        <f>Wants!B3</f>
        <v/>
      </c>
      <c r="F7" s="6" t="inlineStr">
        <is>
          <t>Remaining</t>
        </is>
      </c>
      <c r="G7" s="8">
        <f>C7-E7</f>
        <v/>
      </c>
    </row>
    <row r="9">
      <c r="A9" s="5" t="inlineStr">
        <is>
          <t>SAVINGS (20%)</t>
        </is>
      </c>
      <c r="B9" s="6" t="inlineStr">
        <is>
          <t>Target</t>
        </is>
      </c>
      <c r="C9" s="7">
        <f>B3*0.2</f>
        <v/>
      </c>
      <c r="D9" s="6" t="inlineStr">
        <is>
          <t>Actual</t>
        </is>
      </c>
      <c r="E9" s="8">
        <f>Savings!B3</f>
        <v/>
      </c>
      <c r="F9" s="6" t="inlineStr">
        <is>
          <t>Remaining</t>
        </is>
      </c>
      <c r="G9" s="8">
        <f>C9-E9</f>
        <v/>
      </c>
    </row>
    <row r="12">
      <c r="A12" s="9" t="inlineStr">
        <is>
          <t>Needs</t>
        </is>
      </c>
      <c r="B12" s="10">
        <f>E5</f>
        <v/>
      </c>
    </row>
    <row r="13">
      <c r="A13" s="9" t="inlineStr">
        <is>
          <t>Wants</t>
        </is>
      </c>
      <c r="B13" s="10">
        <f>E7</f>
        <v/>
      </c>
    </row>
    <row r="14">
      <c r="A14" s="9" t="inlineStr">
        <is>
          <t>Savings</t>
        </is>
      </c>
      <c r="B14" s="10">
        <f>E9</f>
        <v/>
      </c>
    </row>
  </sheetData>
  <mergeCells count="1">
    <mergeCell ref="A1:G1"/>
  </mergeCells>
  <conditionalFormatting sqref="G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G7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G9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NEEDS (50%) — Essential Expenses</t>
        </is>
      </c>
      <c r="B1" s="2" t="n"/>
      <c r="C1" s="2" t="n"/>
      <c r="D1" s="2" t="n"/>
    </row>
    <row r="2">
      <c r="A2" s="5" t="inlineStr">
        <is>
          <t>Total Spent:</t>
        </is>
      </c>
      <c r="B2" s="11">
        <f>SUM(C5:C104)</f>
        <v/>
      </c>
      <c r="C2" s="5" t="inlineStr">
        <is>
          <t>Budget:</t>
        </is>
      </c>
      <c r="D2" s="12">
        <f>Dashboard!B3*0.5</f>
        <v/>
      </c>
    </row>
    <row r="4">
      <c r="A4" s="13" t="inlineStr">
        <is>
          <t>Date</t>
        </is>
      </c>
      <c r="B4" s="13" t="inlineStr">
        <is>
          <t>Description</t>
        </is>
      </c>
      <c r="C4" s="13" t="inlineStr">
        <is>
          <t>Amount</t>
        </is>
      </c>
      <c r="D4" s="13" t="inlineStr">
        <is>
          <t>Subcategory</t>
        </is>
      </c>
    </row>
    <row r="5">
      <c r="A5" s="9" t="inlineStr">
        <is>
          <t>2026-01-01</t>
        </is>
      </c>
      <c r="B5" s="9" t="inlineStr">
        <is>
          <t>Rent</t>
        </is>
      </c>
      <c r="C5" s="10" t="n">
        <v>1500</v>
      </c>
      <c r="D5" s="9" t="inlineStr">
        <is>
          <t>Rent/Mortgage</t>
        </is>
      </c>
    </row>
    <row r="6">
      <c r="A6" s="14" t="inlineStr">
        <is>
          <t>2026-01-03</t>
        </is>
      </c>
      <c r="B6" s="14" t="inlineStr">
        <is>
          <t>Electric Bill</t>
        </is>
      </c>
      <c r="C6" s="15" t="n">
        <v>85</v>
      </c>
      <c r="D6" s="14" t="inlineStr">
        <is>
          <t>Utilities</t>
        </is>
      </c>
    </row>
    <row r="7">
      <c r="A7" s="9" t="inlineStr">
        <is>
          <t>2026-01-03</t>
        </is>
      </c>
      <c r="B7" s="9" t="inlineStr">
        <is>
          <t>Water Bill</t>
        </is>
      </c>
      <c r="C7" s="10" t="n">
        <v>45</v>
      </c>
      <c r="D7" s="9" t="inlineStr">
        <is>
          <t>Utilities</t>
        </is>
      </c>
    </row>
    <row r="8">
      <c r="A8" s="14" t="inlineStr">
        <is>
          <t>2026-01-05</t>
        </is>
      </c>
      <c r="B8" s="14" t="inlineStr">
        <is>
          <t>Groceries</t>
        </is>
      </c>
      <c r="C8" s="15" t="n">
        <v>120</v>
      </c>
      <c r="D8" s="14" t="inlineStr">
        <is>
          <t>Groceries</t>
        </is>
      </c>
    </row>
    <row r="9">
      <c r="A9" s="9" t="inlineStr">
        <is>
          <t>2026-01-08</t>
        </is>
      </c>
      <c r="B9" s="9" t="inlineStr">
        <is>
          <t>Gas</t>
        </is>
      </c>
      <c r="C9" s="10" t="n">
        <v>45</v>
      </c>
      <c r="D9" s="9" t="inlineStr">
        <is>
          <t>Transportation</t>
        </is>
      </c>
    </row>
    <row r="10">
      <c r="A10" s="14" t="inlineStr">
        <is>
          <t>2026-01-10</t>
        </is>
      </c>
      <c r="B10" s="14" t="inlineStr">
        <is>
          <t>Phone Bill</t>
        </is>
      </c>
      <c r="C10" s="15" t="n">
        <v>65</v>
      </c>
      <c r="D10" s="14" t="inlineStr">
        <is>
          <t>Utilities</t>
        </is>
      </c>
    </row>
    <row r="11">
      <c r="A11" s="9" t="inlineStr">
        <is>
          <t>2026-01-12</t>
        </is>
      </c>
      <c r="B11" s="9" t="inlineStr">
        <is>
          <t>Groceries</t>
        </is>
      </c>
      <c r="C11" s="10" t="n">
        <v>95</v>
      </c>
      <c r="D11" s="9" t="inlineStr">
        <is>
          <t>Groceries</t>
        </is>
      </c>
    </row>
    <row r="12">
      <c r="A12" s="14" t="inlineStr">
        <is>
          <t>2026-01-15</t>
        </is>
      </c>
      <c r="B12" s="14" t="inlineStr">
        <is>
          <t>Health Insurance</t>
        </is>
      </c>
      <c r="C12" s="15" t="n">
        <v>200</v>
      </c>
      <c r="D12" s="14" t="inlineStr">
        <is>
          <t>Insurance</t>
        </is>
      </c>
    </row>
    <row r="13">
      <c r="A13" s="9" t="inlineStr">
        <is>
          <t>2026-01-18</t>
        </is>
      </c>
      <c r="B13" s="9" t="inlineStr">
        <is>
          <t>Bus Pass</t>
        </is>
      </c>
      <c r="C13" s="10" t="n">
        <v>50</v>
      </c>
      <c r="D13" s="9" t="inlineStr">
        <is>
          <t>Transportation</t>
        </is>
      </c>
    </row>
    <row r="14">
      <c r="A14" s="14" t="inlineStr">
        <is>
          <t>2026-01-20</t>
        </is>
      </c>
      <c r="B14" s="14" t="inlineStr">
        <is>
          <t>Groceries</t>
        </is>
      </c>
      <c r="C14" s="15" t="n">
        <v>110</v>
      </c>
      <c r="D14" s="14" t="inlineStr">
        <is>
          <t>Groceries</t>
        </is>
      </c>
    </row>
    <row r="15">
      <c r="A15" s="9" t="n"/>
      <c r="B15" s="9" t="n"/>
      <c r="C15" s="9" t="n"/>
      <c r="D15" s="9" t="n"/>
    </row>
    <row r="16">
      <c r="A16" s="14" t="n"/>
      <c r="B16" s="14" t="n"/>
      <c r="C16" s="14" t="n"/>
      <c r="D16" s="14" t="n"/>
    </row>
    <row r="17">
      <c r="A17" s="9" t="n"/>
      <c r="B17" s="9" t="n"/>
      <c r="C17" s="9" t="n"/>
      <c r="D17" s="9" t="n"/>
    </row>
    <row r="18">
      <c r="A18" s="14" t="n"/>
      <c r="B18" s="14" t="n"/>
      <c r="C18" s="14" t="n"/>
      <c r="D18" s="14" t="n"/>
    </row>
    <row r="19">
      <c r="A19" s="9" t="n"/>
      <c r="B19" s="9" t="n"/>
      <c r="C19" s="9" t="n"/>
      <c r="D19" s="9" t="n"/>
    </row>
    <row r="20">
      <c r="A20" s="14" t="n"/>
      <c r="B20" s="14" t="n"/>
      <c r="C20" s="14" t="n"/>
      <c r="D20" s="14" t="n"/>
    </row>
    <row r="21">
      <c r="A21" s="9" t="n"/>
      <c r="B21" s="9" t="n"/>
      <c r="C21" s="9" t="n"/>
      <c r="D21" s="9" t="n"/>
    </row>
    <row r="22">
      <c r="A22" s="14" t="n"/>
      <c r="B22" s="14" t="n"/>
      <c r="C22" s="14" t="n"/>
      <c r="D22" s="14" t="n"/>
    </row>
    <row r="23">
      <c r="A23" s="9" t="n"/>
      <c r="B23" s="9" t="n"/>
      <c r="C23" s="9" t="n"/>
      <c r="D23" s="9" t="n"/>
    </row>
    <row r="24">
      <c r="A24" s="14" t="n"/>
      <c r="B24" s="14" t="n"/>
      <c r="C24" s="14" t="n"/>
      <c r="D24" s="14" t="n"/>
    </row>
    <row r="25">
      <c r="A25" s="9" t="n"/>
      <c r="B25" s="9" t="n"/>
      <c r="C25" s="9" t="n"/>
      <c r="D25" s="9" t="n"/>
    </row>
    <row r="26">
      <c r="A26" s="14" t="n"/>
      <c r="B26" s="14" t="n"/>
      <c r="C26" s="14" t="n"/>
      <c r="D26" s="14" t="n"/>
    </row>
    <row r="27">
      <c r="A27" s="9" t="n"/>
      <c r="B27" s="9" t="n"/>
      <c r="C27" s="9" t="n"/>
      <c r="D27" s="9" t="n"/>
    </row>
    <row r="28">
      <c r="A28" s="14" t="n"/>
      <c r="B28" s="14" t="n"/>
      <c r="C28" s="14" t="n"/>
      <c r="D28" s="14" t="n"/>
    </row>
    <row r="29">
      <c r="A29" s="9" t="n"/>
      <c r="B29" s="9" t="n"/>
      <c r="C29" s="9" t="n"/>
      <c r="D29" s="9" t="n"/>
    </row>
    <row r="30">
      <c r="A30" s="14" t="n"/>
      <c r="B30" s="14" t="n"/>
      <c r="C30" s="14" t="n"/>
      <c r="D30" s="14" t="n"/>
    </row>
    <row r="31">
      <c r="A31" s="9" t="n"/>
      <c r="B31" s="9" t="n"/>
      <c r="C31" s="9" t="n"/>
      <c r="D31" s="9" t="n"/>
    </row>
    <row r="32">
      <c r="A32" s="14" t="n"/>
      <c r="B32" s="14" t="n"/>
      <c r="C32" s="14" t="n"/>
      <c r="D32" s="14" t="n"/>
    </row>
    <row r="33">
      <c r="A33" s="9" t="n"/>
      <c r="B33" s="9" t="n"/>
      <c r="C33" s="9" t="n"/>
      <c r="D33" s="9" t="n"/>
    </row>
    <row r="34">
      <c r="A34" s="14" t="n"/>
      <c r="B34" s="14" t="n"/>
      <c r="C34" s="14" t="n"/>
      <c r="D34" s="14" t="n"/>
    </row>
    <row r="35">
      <c r="A35" s="9" t="n"/>
      <c r="B35" s="9" t="n"/>
      <c r="C35" s="9" t="n"/>
      <c r="D35" s="9" t="n"/>
    </row>
    <row r="36">
      <c r="A36" s="14" t="n"/>
      <c r="B36" s="14" t="n"/>
      <c r="C36" s="14" t="n"/>
      <c r="D36" s="14" t="n"/>
    </row>
    <row r="37">
      <c r="A37" s="9" t="n"/>
      <c r="B37" s="9" t="n"/>
      <c r="C37" s="9" t="n"/>
      <c r="D37" s="9" t="n"/>
    </row>
    <row r="38">
      <c r="A38" s="14" t="n"/>
      <c r="B38" s="14" t="n"/>
      <c r="C38" s="14" t="n"/>
      <c r="D38" s="14" t="n"/>
    </row>
    <row r="39">
      <c r="A39" s="9" t="n"/>
      <c r="B39" s="9" t="n"/>
      <c r="C39" s="9" t="n"/>
      <c r="D39" s="9" t="n"/>
    </row>
    <row r="40">
      <c r="A40" s="14" t="n"/>
      <c r="B40" s="14" t="n"/>
      <c r="C40" s="14" t="n"/>
      <c r="D40" s="14" t="n"/>
    </row>
    <row r="41">
      <c r="A41" s="9" t="n"/>
      <c r="B41" s="9" t="n"/>
      <c r="C41" s="9" t="n"/>
      <c r="D41" s="9" t="n"/>
    </row>
    <row r="42">
      <c r="A42" s="14" t="n"/>
      <c r="B42" s="14" t="n"/>
      <c r="C42" s="14" t="n"/>
      <c r="D42" s="14" t="n"/>
    </row>
    <row r="43">
      <c r="A43" s="9" t="n"/>
      <c r="B43" s="9" t="n"/>
      <c r="C43" s="9" t="n"/>
      <c r="D43" s="9" t="n"/>
    </row>
    <row r="44">
      <c r="A44" s="14" t="n"/>
      <c r="B44" s="14" t="n"/>
      <c r="C44" s="14" t="n"/>
      <c r="D44" s="14" t="n"/>
    </row>
    <row r="45">
      <c r="A45" s="9" t="n"/>
      <c r="B45" s="9" t="n"/>
      <c r="C45" s="9" t="n"/>
      <c r="D45" s="9" t="n"/>
    </row>
    <row r="46">
      <c r="A46" s="14" t="n"/>
      <c r="B46" s="14" t="n"/>
      <c r="C46" s="14" t="n"/>
      <c r="D46" s="14" t="n"/>
    </row>
    <row r="47">
      <c r="A47" s="9" t="n"/>
      <c r="B47" s="9" t="n"/>
      <c r="C47" s="9" t="n"/>
      <c r="D47" s="9" t="n"/>
    </row>
    <row r="48">
      <c r="A48" s="14" t="n"/>
      <c r="B48" s="14" t="n"/>
      <c r="C48" s="14" t="n"/>
      <c r="D48" s="14" t="n"/>
    </row>
    <row r="49">
      <c r="A49" s="9" t="n"/>
      <c r="B49" s="9" t="n"/>
      <c r="C49" s="9" t="n"/>
      <c r="D49" s="9" t="n"/>
    </row>
    <row r="50">
      <c r="A50" s="14" t="n"/>
      <c r="B50" s="14" t="n"/>
      <c r="C50" s="14" t="n"/>
      <c r="D50" s="14" t="n"/>
    </row>
    <row r="51">
      <c r="A51" s="9" t="n"/>
      <c r="B51" s="9" t="n"/>
      <c r="C51" s="9" t="n"/>
      <c r="D51" s="9" t="n"/>
    </row>
    <row r="52">
      <c r="A52" s="14" t="n"/>
      <c r="B52" s="14" t="n"/>
      <c r="C52" s="14" t="n"/>
      <c r="D52" s="14" t="n"/>
    </row>
    <row r="53">
      <c r="A53" s="9" t="n"/>
      <c r="B53" s="9" t="n"/>
      <c r="C53" s="9" t="n"/>
      <c r="D53" s="9" t="n"/>
    </row>
    <row r="54">
      <c r="A54" s="14" t="n"/>
      <c r="B54" s="14" t="n"/>
      <c r="C54" s="14" t="n"/>
      <c r="D54" s="14" t="n"/>
    </row>
    <row r="55">
      <c r="A55" s="9" t="n"/>
      <c r="B55" s="9" t="n"/>
      <c r="C55" s="9" t="n"/>
      <c r="D55" s="9" t="n"/>
    </row>
    <row r="56">
      <c r="A56" s="14" t="n"/>
      <c r="B56" s="14" t="n"/>
      <c r="C56" s="14" t="n"/>
      <c r="D56" s="14" t="n"/>
    </row>
    <row r="57">
      <c r="A57" s="9" t="n"/>
      <c r="B57" s="9" t="n"/>
      <c r="C57" s="9" t="n"/>
      <c r="D57" s="9" t="n"/>
    </row>
    <row r="58">
      <c r="A58" s="14" t="n"/>
      <c r="B58" s="14" t="n"/>
      <c r="C58" s="14" t="n"/>
      <c r="D58" s="14" t="n"/>
    </row>
    <row r="59">
      <c r="A59" s="9" t="n"/>
      <c r="B59" s="9" t="n"/>
      <c r="C59" s="9" t="n"/>
      <c r="D59" s="9" t="n"/>
    </row>
    <row r="60">
      <c r="A60" s="14" t="n"/>
      <c r="B60" s="14" t="n"/>
      <c r="C60" s="14" t="n"/>
      <c r="D60" s="14" t="n"/>
    </row>
    <row r="61">
      <c r="A61" s="9" t="n"/>
      <c r="B61" s="9" t="n"/>
      <c r="C61" s="9" t="n"/>
      <c r="D61" s="9" t="n"/>
    </row>
    <row r="62">
      <c r="A62" s="14" t="n"/>
      <c r="B62" s="14" t="n"/>
      <c r="C62" s="14" t="n"/>
      <c r="D62" s="14" t="n"/>
    </row>
    <row r="63">
      <c r="A63" s="9" t="n"/>
      <c r="B63" s="9" t="n"/>
      <c r="C63" s="9" t="n"/>
      <c r="D63" s="9" t="n"/>
    </row>
    <row r="64">
      <c r="A64" s="14" t="n"/>
      <c r="B64" s="14" t="n"/>
      <c r="C64" s="14" t="n"/>
      <c r="D64" s="14" t="n"/>
    </row>
    <row r="65">
      <c r="A65" s="9" t="n"/>
      <c r="B65" s="9" t="n"/>
      <c r="C65" s="9" t="n"/>
      <c r="D65" s="9" t="n"/>
    </row>
    <row r="66">
      <c r="A66" s="14" t="n"/>
      <c r="B66" s="14" t="n"/>
      <c r="C66" s="14" t="n"/>
      <c r="D66" s="14" t="n"/>
    </row>
    <row r="67">
      <c r="A67" s="9" t="n"/>
      <c r="B67" s="9" t="n"/>
      <c r="C67" s="9" t="n"/>
      <c r="D67" s="9" t="n"/>
    </row>
    <row r="68">
      <c r="A68" s="14" t="n"/>
      <c r="B68" s="14" t="n"/>
      <c r="C68" s="14" t="n"/>
      <c r="D68" s="14" t="n"/>
    </row>
    <row r="69">
      <c r="A69" s="9" t="n"/>
      <c r="B69" s="9" t="n"/>
      <c r="C69" s="9" t="n"/>
      <c r="D69" s="9" t="n"/>
    </row>
    <row r="70">
      <c r="A70" s="14" t="n"/>
      <c r="B70" s="14" t="n"/>
      <c r="C70" s="14" t="n"/>
      <c r="D70" s="14" t="n"/>
    </row>
    <row r="71">
      <c r="A71" s="9" t="n"/>
      <c r="B71" s="9" t="n"/>
      <c r="C71" s="9" t="n"/>
      <c r="D71" s="9" t="n"/>
    </row>
    <row r="72">
      <c r="A72" s="14" t="n"/>
      <c r="B72" s="14" t="n"/>
      <c r="C72" s="14" t="n"/>
      <c r="D72" s="14" t="n"/>
    </row>
    <row r="73">
      <c r="A73" s="9" t="n"/>
      <c r="B73" s="9" t="n"/>
      <c r="C73" s="9" t="n"/>
      <c r="D73" s="9" t="n"/>
    </row>
    <row r="74">
      <c r="A74" s="14" t="n"/>
      <c r="B74" s="14" t="n"/>
      <c r="C74" s="14" t="n"/>
      <c r="D74" s="14" t="n"/>
    </row>
    <row r="75">
      <c r="A75" s="9" t="n"/>
      <c r="B75" s="9" t="n"/>
      <c r="C75" s="9" t="n"/>
      <c r="D75" s="9" t="n"/>
    </row>
    <row r="76">
      <c r="A76" s="14" t="n"/>
      <c r="B76" s="14" t="n"/>
      <c r="C76" s="14" t="n"/>
      <c r="D76" s="14" t="n"/>
    </row>
    <row r="77">
      <c r="A77" s="9" t="n"/>
      <c r="B77" s="9" t="n"/>
      <c r="C77" s="9" t="n"/>
      <c r="D77" s="9" t="n"/>
    </row>
    <row r="78">
      <c r="A78" s="14" t="n"/>
      <c r="B78" s="14" t="n"/>
      <c r="C78" s="14" t="n"/>
      <c r="D78" s="14" t="n"/>
    </row>
    <row r="79">
      <c r="A79" s="9" t="n"/>
      <c r="B79" s="9" t="n"/>
      <c r="C79" s="9" t="n"/>
      <c r="D79" s="9" t="n"/>
    </row>
    <row r="80">
      <c r="A80" s="14" t="n"/>
      <c r="B80" s="14" t="n"/>
      <c r="C80" s="14" t="n"/>
      <c r="D80" s="14" t="n"/>
    </row>
    <row r="81">
      <c r="A81" s="9" t="n"/>
      <c r="B81" s="9" t="n"/>
      <c r="C81" s="9" t="n"/>
      <c r="D81" s="9" t="n"/>
    </row>
    <row r="82">
      <c r="A82" s="14" t="n"/>
      <c r="B82" s="14" t="n"/>
      <c r="C82" s="14" t="n"/>
      <c r="D82" s="14" t="n"/>
    </row>
    <row r="83">
      <c r="A83" s="9" t="n"/>
      <c r="B83" s="9" t="n"/>
      <c r="C83" s="9" t="n"/>
      <c r="D83" s="9" t="n"/>
    </row>
    <row r="84">
      <c r="A84" s="14" t="n"/>
      <c r="B84" s="14" t="n"/>
      <c r="C84" s="14" t="n"/>
      <c r="D84" s="14" t="n"/>
    </row>
    <row r="85">
      <c r="A85" s="9" t="n"/>
      <c r="B85" s="9" t="n"/>
      <c r="C85" s="9" t="n"/>
      <c r="D85" s="9" t="n"/>
    </row>
    <row r="86">
      <c r="A86" s="14" t="n"/>
      <c r="B86" s="14" t="n"/>
      <c r="C86" s="14" t="n"/>
      <c r="D86" s="14" t="n"/>
    </row>
    <row r="87">
      <c r="A87" s="9" t="n"/>
      <c r="B87" s="9" t="n"/>
      <c r="C87" s="9" t="n"/>
      <c r="D87" s="9" t="n"/>
    </row>
    <row r="88">
      <c r="A88" s="14" t="n"/>
      <c r="B88" s="14" t="n"/>
      <c r="C88" s="14" t="n"/>
      <c r="D88" s="14" t="n"/>
    </row>
    <row r="89">
      <c r="A89" s="9" t="n"/>
      <c r="B89" s="9" t="n"/>
      <c r="C89" s="9" t="n"/>
      <c r="D89" s="9" t="n"/>
    </row>
    <row r="90">
      <c r="A90" s="14" t="n"/>
      <c r="B90" s="14" t="n"/>
      <c r="C90" s="14" t="n"/>
      <c r="D90" s="14" t="n"/>
    </row>
    <row r="91">
      <c r="A91" s="9" t="n"/>
      <c r="B91" s="9" t="n"/>
      <c r="C91" s="9" t="n"/>
      <c r="D91" s="9" t="n"/>
    </row>
    <row r="92">
      <c r="A92" s="14" t="n"/>
      <c r="B92" s="14" t="n"/>
      <c r="C92" s="14" t="n"/>
      <c r="D92" s="14" t="n"/>
    </row>
    <row r="93">
      <c r="A93" s="9" t="n"/>
      <c r="B93" s="9" t="n"/>
      <c r="C93" s="9" t="n"/>
      <c r="D93" s="9" t="n"/>
    </row>
    <row r="94">
      <c r="A94" s="14" t="n"/>
      <c r="B94" s="14" t="n"/>
      <c r="C94" s="14" t="n"/>
      <c r="D94" s="14" t="n"/>
    </row>
    <row r="95">
      <c r="A95" s="9" t="n"/>
      <c r="B95" s="9" t="n"/>
      <c r="C95" s="9" t="n"/>
      <c r="D95" s="9" t="n"/>
    </row>
    <row r="96">
      <c r="A96" s="14" t="n"/>
      <c r="B96" s="14" t="n"/>
      <c r="C96" s="14" t="n"/>
      <c r="D96" s="14" t="n"/>
    </row>
    <row r="97">
      <c r="A97" s="9" t="n"/>
      <c r="B97" s="9" t="n"/>
      <c r="C97" s="9" t="n"/>
      <c r="D97" s="9" t="n"/>
    </row>
    <row r="98">
      <c r="A98" s="14" t="n"/>
      <c r="B98" s="14" t="n"/>
      <c r="C98" s="14" t="n"/>
      <c r="D98" s="14" t="n"/>
    </row>
    <row r="99">
      <c r="A99" s="9" t="n"/>
      <c r="B99" s="9" t="n"/>
      <c r="C99" s="9" t="n"/>
      <c r="D99" s="9" t="n"/>
    </row>
    <row r="100">
      <c r="A100" s="14" t="n"/>
      <c r="B100" s="14" t="n"/>
      <c r="C100" s="14" t="n"/>
      <c r="D100" s="14" t="n"/>
    </row>
    <row r="101">
      <c r="A101" s="9" t="n"/>
      <c r="B101" s="9" t="n"/>
      <c r="C101" s="9" t="n"/>
      <c r="D101" s="9" t="n"/>
    </row>
    <row r="102">
      <c r="A102" s="14" t="n"/>
      <c r="B102" s="14" t="n"/>
      <c r="C102" s="14" t="n"/>
      <c r="D102" s="14" t="n"/>
    </row>
    <row r="103">
      <c r="A103" s="9" t="n"/>
      <c r="B103" s="9" t="n"/>
      <c r="C103" s="9" t="n"/>
      <c r="D103" s="9" t="n"/>
    </row>
    <row r="104">
      <c r="A104" s="14" t="n"/>
      <c r="B104" s="14" t="n"/>
      <c r="C104" s="14" t="n"/>
      <c r="D104" s="1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WANTS (30%) — Lifestyle &amp; Fun</t>
        </is>
      </c>
      <c r="B1" s="2" t="n"/>
      <c r="C1" s="2" t="n"/>
      <c r="D1" s="2" t="n"/>
    </row>
    <row r="2">
      <c r="A2" s="5" t="inlineStr">
        <is>
          <t>Total Spent:</t>
        </is>
      </c>
      <c r="B2" s="11">
        <f>SUM(C5:C104)</f>
        <v/>
      </c>
      <c r="C2" s="5" t="inlineStr">
        <is>
          <t>Budget:</t>
        </is>
      </c>
      <c r="D2" s="12">
        <f>Dashboard!B3*0.3</f>
        <v/>
      </c>
    </row>
    <row r="4">
      <c r="A4" s="13" t="inlineStr">
        <is>
          <t>Date</t>
        </is>
      </c>
      <c r="B4" s="13" t="inlineStr">
        <is>
          <t>Description</t>
        </is>
      </c>
      <c r="C4" s="13" t="inlineStr">
        <is>
          <t>Amount</t>
        </is>
      </c>
      <c r="D4" s="13" t="inlineStr">
        <is>
          <t>Subcategory</t>
        </is>
      </c>
    </row>
    <row r="5">
      <c r="A5" s="9" t="inlineStr">
        <is>
          <t>2026-01-02</t>
        </is>
      </c>
      <c r="B5" s="9" t="inlineStr">
        <is>
          <t>Coffee Shop</t>
        </is>
      </c>
      <c r="C5" s="10" t="n">
        <v>5.5</v>
      </c>
      <c r="D5" s="9" t="inlineStr">
        <is>
          <t>Dining Out</t>
        </is>
      </c>
    </row>
    <row r="6">
      <c r="A6" s="14" t="inlineStr">
        <is>
          <t>2026-01-04</t>
        </is>
      </c>
      <c r="B6" s="14" t="inlineStr">
        <is>
          <t>Netflix</t>
        </is>
      </c>
      <c r="C6" s="15" t="n">
        <v>15.99</v>
      </c>
      <c r="D6" s="14" t="inlineStr">
        <is>
          <t>Subscriptions</t>
        </is>
      </c>
    </row>
    <row r="7">
      <c r="A7" s="9" t="inlineStr">
        <is>
          <t>2026-01-06</t>
        </is>
      </c>
      <c r="B7" s="9" t="inlineStr">
        <is>
          <t>Restaurant Dinner</t>
        </is>
      </c>
      <c r="C7" s="10" t="n">
        <v>65</v>
      </c>
      <c r="D7" s="9" t="inlineStr">
        <is>
          <t>Dining Out</t>
        </is>
      </c>
    </row>
    <row r="8">
      <c r="A8" s="14" t="inlineStr">
        <is>
          <t>2026-01-09</t>
        </is>
      </c>
      <c r="B8" s="14" t="inlineStr">
        <is>
          <t>Movie Tickets</t>
        </is>
      </c>
      <c r="C8" s="15" t="n">
        <v>28</v>
      </c>
      <c r="D8" s="14" t="inlineStr">
        <is>
          <t>Entertainment</t>
        </is>
      </c>
    </row>
    <row r="9">
      <c r="A9" s="9" t="inlineStr">
        <is>
          <t>2026-01-11</t>
        </is>
      </c>
      <c r="B9" s="9" t="inlineStr">
        <is>
          <t>Spotify</t>
        </is>
      </c>
      <c r="C9" s="10" t="n">
        <v>10.99</v>
      </c>
      <c r="D9" s="9" t="inlineStr">
        <is>
          <t>Subscriptions</t>
        </is>
      </c>
    </row>
    <row r="10">
      <c r="A10" s="14" t="inlineStr">
        <is>
          <t>2026-01-14</t>
        </is>
      </c>
      <c r="B10" s="14" t="inlineStr">
        <is>
          <t>New Shoes</t>
        </is>
      </c>
      <c r="C10" s="15" t="n">
        <v>89</v>
      </c>
      <c r="D10" s="14" t="inlineStr">
        <is>
          <t>Shopping</t>
        </is>
      </c>
    </row>
    <row r="11">
      <c r="A11" s="9" t="inlineStr">
        <is>
          <t>2026-01-17</t>
        </is>
      </c>
      <c r="B11" s="9" t="inlineStr">
        <is>
          <t>Happy Hour</t>
        </is>
      </c>
      <c r="C11" s="10" t="n">
        <v>35</v>
      </c>
      <c r="D11" s="9" t="inlineStr">
        <is>
          <t>Dining Out</t>
        </is>
      </c>
    </row>
    <row r="12">
      <c r="A12" s="14" t="inlineStr">
        <is>
          <t>2026-01-22</t>
        </is>
      </c>
      <c r="B12" s="14" t="inlineStr">
        <is>
          <t>Book</t>
        </is>
      </c>
      <c r="C12" s="15" t="n">
        <v>18</v>
      </c>
      <c r="D12" s="14" t="inlineStr">
        <is>
          <t>Shopping</t>
        </is>
      </c>
    </row>
    <row r="13">
      <c r="A13" s="9" t="n"/>
      <c r="B13" s="9" t="n"/>
      <c r="C13" s="9" t="n"/>
      <c r="D13" s="9" t="n"/>
    </row>
    <row r="14">
      <c r="A14" s="14" t="n"/>
      <c r="B14" s="14" t="n"/>
      <c r="C14" s="14" t="n"/>
      <c r="D14" s="14" t="n"/>
    </row>
    <row r="15">
      <c r="A15" s="9" t="n"/>
      <c r="B15" s="9" t="n"/>
      <c r="C15" s="9" t="n"/>
      <c r="D15" s="9" t="n"/>
    </row>
    <row r="16">
      <c r="A16" s="14" t="n"/>
      <c r="B16" s="14" t="n"/>
      <c r="C16" s="14" t="n"/>
      <c r="D16" s="14" t="n"/>
    </row>
    <row r="17">
      <c r="A17" s="9" t="n"/>
      <c r="B17" s="9" t="n"/>
      <c r="C17" s="9" t="n"/>
      <c r="D17" s="9" t="n"/>
    </row>
    <row r="18">
      <c r="A18" s="14" t="n"/>
      <c r="B18" s="14" t="n"/>
      <c r="C18" s="14" t="n"/>
      <c r="D18" s="14" t="n"/>
    </row>
    <row r="19">
      <c r="A19" s="9" t="n"/>
      <c r="B19" s="9" t="n"/>
      <c r="C19" s="9" t="n"/>
      <c r="D19" s="9" t="n"/>
    </row>
    <row r="20">
      <c r="A20" s="14" t="n"/>
      <c r="B20" s="14" t="n"/>
      <c r="C20" s="14" t="n"/>
      <c r="D20" s="14" t="n"/>
    </row>
    <row r="21">
      <c r="A21" s="9" t="n"/>
      <c r="B21" s="9" t="n"/>
      <c r="C21" s="9" t="n"/>
      <c r="D21" s="9" t="n"/>
    </row>
    <row r="22">
      <c r="A22" s="14" t="n"/>
      <c r="B22" s="14" t="n"/>
      <c r="C22" s="14" t="n"/>
      <c r="D22" s="14" t="n"/>
    </row>
    <row r="23">
      <c r="A23" s="9" t="n"/>
      <c r="B23" s="9" t="n"/>
      <c r="C23" s="9" t="n"/>
      <c r="D23" s="9" t="n"/>
    </row>
    <row r="24">
      <c r="A24" s="14" t="n"/>
      <c r="B24" s="14" t="n"/>
      <c r="C24" s="14" t="n"/>
      <c r="D24" s="14" t="n"/>
    </row>
    <row r="25">
      <c r="A25" s="9" t="n"/>
      <c r="B25" s="9" t="n"/>
      <c r="C25" s="9" t="n"/>
      <c r="D25" s="9" t="n"/>
    </row>
    <row r="26">
      <c r="A26" s="14" t="n"/>
      <c r="B26" s="14" t="n"/>
      <c r="C26" s="14" t="n"/>
      <c r="D26" s="14" t="n"/>
    </row>
    <row r="27">
      <c r="A27" s="9" t="n"/>
      <c r="B27" s="9" t="n"/>
      <c r="C27" s="9" t="n"/>
      <c r="D27" s="9" t="n"/>
    </row>
    <row r="28">
      <c r="A28" s="14" t="n"/>
      <c r="B28" s="14" t="n"/>
      <c r="C28" s="14" t="n"/>
      <c r="D28" s="14" t="n"/>
    </row>
    <row r="29">
      <c r="A29" s="9" t="n"/>
      <c r="B29" s="9" t="n"/>
      <c r="C29" s="9" t="n"/>
      <c r="D29" s="9" t="n"/>
    </row>
    <row r="30">
      <c r="A30" s="14" t="n"/>
      <c r="B30" s="14" t="n"/>
      <c r="C30" s="14" t="n"/>
      <c r="D30" s="14" t="n"/>
    </row>
    <row r="31">
      <c r="A31" s="9" t="n"/>
      <c r="B31" s="9" t="n"/>
      <c r="C31" s="9" t="n"/>
      <c r="D31" s="9" t="n"/>
    </row>
    <row r="32">
      <c r="A32" s="14" t="n"/>
      <c r="B32" s="14" t="n"/>
      <c r="C32" s="14" t="n"/>
      <c r="D32" s="14" t="n"/>
    </row>
    <row r="33">
      <c r="A33" s="9" t="n"/>
      <c r="B33" s="9" t="n"/>
      <c r="C33" s="9" t="n"/>
      <c r="D33" s="9" t="n"/>
    </row>
    <row r="34">
      <c r="A34" s="14" t="n"/>
      <c r="B34" s="14" t="n"/>
      <c r="C34" s="14" t="n"/>
      <c r="D34" s="14" t="n"/>
    </row>
    <row r="35">
      <c r="A35" s="9" t="n"/>
      <c r="B35" s="9" t="n"/>
      <c r="C35" s="9" t="n"/>
      <c r="D35" s="9" t="n"/>
    </row>
    <row r="36">
      <c r="A36" s="14" t="n"/>
      <c r="B36" s="14" t="n"/>
      <c r="C36" s="14" t="n"/>
      <c r="D36" s="14" t="n"/>
    </row>
    <row r="37">
      <c r="A37" s="9" t="n"/>
      <c r="B37" s="9" t="n"/>
      <c r="C37" s="9" t="n"/>
      <c r="D37" s="9" t="n"/>
    </row>
    <row r="38">
      <c r="A38" s="14" t="n"/>
      <c r="B38" s="14" t="n"/>
      <c r="C38" s="14" t="n"/>
      <c r="D38" s="14" t="n"/>
    </row>
    <row r="39">
      <c r="A39" s="9" t="n"/>
      <c r="B39" s="9" t="n"/>
      <c r="C39" s="9" t="n"/>
      <c r="D39" s="9" t="n"/>
    </row>
    <row r="40">
      <c r="A40" s="14" t="n"/>
      <c r="B40" s="14" t="n"/>
      <c r="C40" s="14" t="n"/>
      <c r="D40" s="14" t="n"/>
    </row>
    <row r="41">
      <c r="A41" s="9" t="n"/>
      <c r="B41" s="9" t="n"/>
      <c r="C41" s="9" t="n"/>
      <c r="D41" s="9" t="n"/>
    </row>
    <row r="42">
      <c r="A42" s="14" t="n"/>
      <c r="B42" s="14" t="n"/>
      <c r="C42" s="14" t="n"/>
      <c r="D42" s="14" t="n"/>
    </row>
    <row r="43">
      <c r="A43" s="9" t="n"/>
      <c r="B43" s="9" t="n"/>
      <c r="C43" s="9" t="n"/>
      <c r="D43" s="9" t="n"/>
    </row>
    <row r="44">
      <c r="A44" s="14" t="n"/>
      <c r="B44" s="14" t="n"/>
      <c r="C44" s="14" t="n"/>
      <c r="D44" s="14" t="n"/>
    </row>
    <row r="45">
      <c r="A45" s="9" t="n"/>
      <c r="B45" s="9" t="n"/>
      <c r="C45" s="9" t="n"/>
      <c r="D45" s="9" t="n"/>
    </row>
    <row r="46">
      <c r="A46" s="14" t="n"/>
      <c r="B46" s="14" t="n"/>
      <c r="C46" s="14" t="n"/>
      <c r="D46" s="14" t="n"/>
    </row>
    <row r="47">
      <c r="A47" s="9" t="n"/>
      <c r="B47" s="9" t="n"/>
      <c r="C47" s="9" t="n"/>
      <c r="D47" s="9" t="n"/>
    </row>
    <row r="48">
      <c r="A48" s="14" t="n"/>
      <c r="B48" s="14" t="n"/>
      <c r="C48" s="14" t="n"/>
      <c r="D48" s="14" t="n"/>
    </row>
    <row r="49">
      <c r="A49" s="9" t="n"/>
      <c r="B49" s="9" t="n"/>
      <c r="C49" s="9" t="n"/>
      <c r="D49" s="9" t="n"/>
    </row>
    <row r="50">
      <c r="A50" s="14" t="n"/>
      <c r="B50" s="14" t="n"/>
      <c r="C50" s="14" t="n"/>
      <c r="D50" s="14" t="n"/>
    </row>
    <row r="51">
      <c r="A51" s="9" t="n"/>
      <c r="B51" s="9" t="n"/>
      <c r="C51" s="9" t="n"/>
      <c r="D51" s="9" t="n"/>
    </row>
    <row r="52">
      <c r="A52" s="14" t="n"/>
      <c r="B52" s="14" t="n"/>
      <c r="C52" s="14" t="n"/>
      <c r="D52" s="14" t="n"/>
    </row>
    <row r="53">
      <c r="A53" s="9" t="n"/>
      <c r="B53" s="9" t="n"/>
      <c r="C53" s="9" t="n"/>
      <c r="D53" s="9" t="n"/>
    </row>
    <row r="54">
      <c r="A54" s="14" t="n"/>
      <c r="B54" s="14" t="n"/>
      <c r="C54" s="14" t="n"/>
      <c r="D54" s="14" t="n"/>
    </row>
    <row r="55">
      <c r="A55" s="9" t="n"/>
      <c r="B55" s="9" t="n"/>
      <c r="C55" s="9" t="n"/>
      <c r="D55" s="9" t="n"/>
    </row>
    <row r="56">
      <c r="A56" s="14" t="n"/>
      <c r="B56" s="14" t="n"/>
      <c r="C56" s="14" t="n"/>
      <c r="D56" s="14" t="n"/>
    </row>
    <row r="57">
      <c r="A57" s="9" t="n"/>
      <c r="B57" s="9" t="n"/>
      <c r="C57" s="9" t="n"/>
      <c r="D57" s="9" t="n"/>
    </row>
    <row r="58">
      <c r="A58" s="14" t="n"/>
      <c r="B58" s="14" t="n"/>
      <c r="C58" s="14" t="n"/>
      <c r="D58" s="14" t="n"/>
    </row>
    <row r="59">
      <c r="A59" s="9" t="n"/>
      <c r="B59" s="9" t="n"/>
      <c r="C59" s="9" t="n"/>
      <c r="D59" s="9" t="n"/>
    </row>
    <row r="60">
      <c r="A60" s="14" t="n"/>
      <c r="B60" s="14" t="n"/>
      <c r="C60" s="14" t="n"/>
      <c r="D60" s="14" t="n"/>
    </row>
    <row r="61">
      <c r="A61" s="9" t="n"/>
      <c r="B61" s="9" t="n"/>
      <c r="C61" s="9" t="n"/>
      <c r="D61" s="9" t="n"/>
    </row>
    <row r="62">
      <c r="A62" s="14" t="n"/>
      <c r="B62" s="14" t="n"/>
      <c r="C62" s="14" t="n"/>
      <c r="D62" s="14" t="n"/>
    </row>
    <row r="63">
      <c r="A63" s="9" t="n"/>
      <c r="B63" s="9" t="n"/>
      <c r="C63" s="9" t="n"/>
      <c r="D63" s="9" t="n"/>
    </row>
    <row r="64">
      <c r="A64" s="14" t="n"/>
      <c r="B64" s="14" t="n"/>
      <c r="C64" s="14" t="n"/>
      <c r="D64" s="14" t="n"/>
    </row>
    <row r="65">
      <c r="A65" s="9" t="n"/>
      <c r="B65" s="9" t="n"/>
      <c r="C65" s="9" t="n"/>
      <c r="D65" s="9" t="n"/>
    </row>
    <row r="66">
      <c r="A66" s="14" t="n"/>
      <c r="B66" s="14" t="n"/>
      <c r="C66" s="14" t="n"/>
      <c r="D66" s="14" t="n"/>
    </row>
    <row r="67">
      <c r="A67" s="9" t="n"/>
      <c r="B67" s="9" t="n"/>
      <c r="C67" s="9" t="n"/>
      <c r="D67" s="9" t="n"/>
    </row>
    <row r="68">
      <c r="A68" s="14" t="n"/>
      <c r="B68" s="14" t="n"/>
      <c r="C68" s="14" t="n"/>
      <c r="D68" s="14" t="n"/>
    </row>
    <row r="69">
      <c r="A69" s="9" t="n"/>
      <c r="B69" s="9" t="n"/>
      <c r="C69" s="9" t="n"/>
      <c r="D69" s="9" t="n"/>
    </row>
    <row r="70">
      <c r="A70" s="14" t="n"/>
      <c r="B70" s="14" t="n"/>
      <c r="C70" s="14" t="n"/>
      <c r="D70" s="14" t="n"/>
    </row>
    <row r="71">
      <c r="A71" s="9" t="n"/>
      <c r="B71" s="9" t="n"/>
      <c r="C71" s="9" t="n"/>
      <c r="D71" s="9" t="n"/>
    </row>
    <row r="72">
      <c r="A72" s="14" t="n"/>
      <c r="B72" s="14" t="n"/>
      <c r="C72" s="14" t="n"/>
      <c r="D72" s="14" t="n"/>
    </row>
    <row r="73">
      <c r="A73" s="9" t="n"/>
      <c r="B73" s="9" t="n"/>
      <c r="C73" s="9" t="n"/>
      <c r="D73" s="9" t="n"/>
    </row>
    <row r="74">
      <c r="A74" s="14" t="n"/>
      <c r="B74" s="14" t="n"/>
      <c r="C74" s="14" t="n"/>
      <c r="D74" s="14" t="n"/>
    </row>
    <row r="75">
      <c r="A75" s="9" t="n"/>
      <c r="B75" s="9" t="n"/>
      <c r="C75" s="9" t="n"/>
      <c r="D75" s="9" t="n"/>
    </row>
    <row r="76">
      <c r="A76" s="14" t="n"/>
      <c r="B76" s="14" t="n"/>
      <c r="C76" s="14" t="n"/>
      <c r="D76" s="14" t="n"/>
    </row>
    <row r="77">
      <c r="A77" s="9" t="n"/>
      <c r="B77" s="9" t="n"/>
      <c r="C77" s="9" t="n"/>
      <c r="D77" s="9" t="n"/>
    </row>
    <row r="78">
      <c r="A78" s="14" t="n"/>
      <c r="B78" s="14" t="n"/>
      <c r="C78" s="14" t="n"/>
      <c r="D78" s="14" t="n"/>
    </row>
    <row r="79">
      <c r="A79" s="9" t="n"/>
      <c r="B79" s="9" t="n"/>
      <c r="C79" s="9" t="n"/>
      <c r="D79" s="9" t="n"/>
    </row>
    <row r="80">
      <c r="A80" s="14" t="n"/>
      <c r="B80" s="14" t="n"/>
      <c r="C80" s="14" t="n"/>
      <c r="D80" s="14" t="n"/>
    </row>
    <row r="81">
      <c r="A81" s="9" t="n"/>
      <c r="B81" s="9" t="n"/>
      <c r="C81" s="9" t="n"/>
      <c r="D81" s="9" t="n"/>
    </row>
    <row r="82">
      <c r="A82" s="14" t="n"/>
      <c r="B82" s="14" t="n"/>
      <c r="C82" s="14" t="n"/>
      <c r="D82" s="14" t="n"/>
    </row>
    <row r="83">
      <c r="A83" s="9" t="n"/>
      <c r="B83" s="9" t="n"/>
      <c r="C83" s="9" t="n"/>
      <c r="D83" s="9" t="n"/>
    </row>
    <row r="84">
      <c r="A84" s="14" t="n"/>
      <c r="B84" s="14" t="n"/>
      <c r="C84" s="14" t="n"/>
      <c r="D84" s="14" t="n"/>
    </row>
    <row r="85">
      <c r="A85" s="9" t="n"/>
      <c r="B85" s="9" t="n"/>
      <c r="C85" s="9" t="n"/>
      <c r="D85" s="9" t="n"/>
    </row>
    <row r="86">
      <c r="A86" s="14" t="n"/>
      <c r="B86" s="14" t="n"/>
      <c r="C86" s="14" t="n"/>
      <c r="D86" s="14" t="n"/>
    </row>
    <row r="87">
      <c r="A87" s="9" t="n"/>
      <c r="B87" s="9" t="n"/>
      <c r="C87" s="9" t="n"/>
      <c r="D87" s="9" t="n"/>
    </row>
    <row r="88">
      <c r="A88" s="14" t="n"/>
      <c r="B88" s="14" t="n"/>
      <c r="C88" s="14" t="n"/>
      <c r="D88" s="14" t="n"/>
    </row>
    <row r="89">
      <c r="A89" s="9" t="n"/>
      <c r="B89" s="9" t="n"/>
      <c r="C89" s="9" t="n"/>
      <c r="D89" s="9" t="n"/>
    </row>
    <row r="90">
      <c r="A90" s="14" t="n"/>
      <c r="B90" s="14" t="n"/>
      <c r="C90" s="14" t="n"/>
      <c r="D90" s="14" t="n"/>
    </row>
    <row r="91">
      <c r="A91" s="9" t="n"/>
      <c r="B91" s="9" t="n"/>
      <c r="C91" s="9" t="n"/>
      <c r="D91" s="9" t="n"/>
    </row>
    <row r="92">
      <c r="A92" s="14" t="n"/>
      <c r="B92" s="14" t="n"/>
      <c r="C92" s="14" t="n"/>
      <c r="D92" s="14" t="n"/>
    </row>
    <row r="93">
      <c r="A93" s="9" t="n"/>
      <c r="B93" s="9" t="n"/>
      <c r="C93" s="9" t="n"/>
      <c r="D93" s="9" t="n"/>
    </row>
    <row r="94">
      <c r="A94" s="14" t="n"/>
      <c r="B94" s="14" t="n"/>
      <c r="C94" s="14" t="n"/>
      <c r="D94" s="14" t="n"/>
    </row>
    <row r="95">
      <c r="A95" s="9" t="n"/>
      <c r="B95" s="9" t="n"/>
      <c r="C95" s="9" t="n"/>
      <c r="D95" s="9" t="n"/>
    </row>
    <row r="96">
      <c r="A96" s="14" t="n"/>
      <c r="B96" s="14" t="n"/>
      <c r="C96" s="14" t="n"/>
      <c r="D96" s="14" t="n"/>
    </row>
    <row r="97">
      <c r="A97" s="9" t="n"/>
      <c r="B97" s="9" t="n"/>
      <c r="C97" s="9" t="n"/>
      <c r="D97" s="9" t="n"/>
    </row>
    <row r="98">
      <c r="A98" s="14" t="n"/>
      <c r="B98" s="14" t="n"/>
      <c r="C98" s="14" t="n"/>
      <c r="D98" s="14" t="n"/>
    </row>
    <row r="99">
      <c r="A99" s="9" t="n"/>
      <c r="B99" s="9" t="n"/>
      <c r="C99" s="9" t="n"/>
      <c r="D99" s="9" t="n"/>
    </row>
    <row r="100">
      <c r="A100" s="14" t="n"/>
      <c r="B100" s="14" t="n"/>
      <c r="C100" s="14" t="n"/>
      <c r="D100" s="14" t="n"/>
    </row>
    <row r="101">
      <c r="A101" s="9" t="n"/>
      <c r="B101" s="9" t="n"/>
      <c r="C101" s="9" t="n"/>
      <c r="D101" s="9" t="n"/>
    </row>
    <row r="102">
      <c r="A102" s="14" t="n"/>
      <c r="B102" s="14" t="n"/>
      <c r="C102" s="14" t="n"/>
      <c r="D102" s="14" t="n"/>
    </row>
    <row r="103">
      <c r="A103" s="9" t="n"/>
      <c r="B103" s="9" t="n"/>
      <c r="C103" s="9" t="n"/>
      <c r="D103" s="9" t="n"/>
    </row>
    <row r="104">
      <c r="A104" s="14" t="n"/>
      <c r="B104" s="14" t="n"/>
      <c r="C104" s="14" t="n"/>
      <c r="D104" s="14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SAVINGS (20%) — Future You</t>
        </is>
      </c>
      <c r="B1" s="2" t="n"/>
      <c r="C1" s="2" t="n"/>
      <c r="D1" s="2" t="n"/>
    </row>
    <row r="2">
      <c r="A2" s="5" t="inlineStr">
        <is>
          <t>Total Saved:</t>
        </is>
      </c>
      <c r="B2" s="11">
        <f>SUM(C5:C104)</f>
        <v/>
      </c>
      <c r="C2" s="5" t="inlineStr">
        <is>
          <t>Target:</t>
        </is>
      </c>
      <c r="D2" s="12">
        <f>Dashboard!B3*0.2</f>
        <v/>
      </c>
    </row>
    <row r="4">
      <c r="A4" s="13" t="inlineStr">
        <is>
          <t>Date</t>
        </is>
      </c>
      <c r="B4" s="13" t="inlineStr">
        <is>
          <t>Description</t>
        </is>
      </c>
      <c r="C4" s="13" t="inlineStr">
        <is>
          <t>Amount</t>
        </is>
      </c>
      <c r="D4" s="13" t="inlineStr">
        <is>
          <t>Destination</t>
        </is>
      </c>
    </row>
    <row r="5">
      <c r="A5" s="9" t="inlineStr">
        <is>
          <t>2026-01-01</t>
        </is>
      </c>
      <c r="B5" s="9" t="inlineStr">
        <is>
          <t>Emergency Fund</t>
        </is>
      </c>
      <c r="C5" s="10" t="n">
        <v>400</v>
      </c>
      <c r="D5" s="9" t="inlineStr">
        <is>
          <t>Emergency Fund</t>
        </is>
      </c>
    </row>
    <row r="6">
      <c r="A6" s="14" t="inlineStr">
        <is>
          <t>2026-01-01</t>
        </is>
      </c>
      <c r="B6" s="14" t="inlineStr">
        <is>
          <t>401k Contribution</t>
        </is>
      </c>
      <c r="C6" s="15" t="n">
        <v>500</v>
      </c>
      <c r="D6" s="14" t="inlineStr">
        <is>
          <t>Retirement</t>
        </is>
      </c>
    </row>
    <row r="7">
      <c r="A7" s="9" t="inlineStr">
        <is>
          <t>2026-01-15</t>
        </is>
      </c>
      <c r="B7" s="9" t="inlineStr">
        <is>
          <t>Index Fund</t>
        </is>
      </c>
      <c r="C7" s="10" t="n">
        <v>100</v>
      </c>
      <c r="D7" s="9" t="inlineStr">
        <is>
          <t>Investments</t>
        </is>
      </c>
    </row>
    <row r="8">
      <c r="A8" s="14" t="n"/>
      <c r="B8" s="14" t="n"/>
      <c r="C8" s="14" t="n"/>
      <c r="D8" s="14" t="n"/>
    </row>
    <row r="9">
      <c r="A9" s="9" t="n"/>
      <c r="B9" s="9" t="n"/>
      <c r="C9" s="9" t="n"/>
      <c r="D9" s="9" t="n"/>
    </row>
    <row r="10">
      <c r="A10" s="14" t="n"/>
      <c r="B10" s="14" t="n"/>
      <c r="C10" s="14" t="n"/>
      <c r="D10" s="14" t="n"/>
    </row>
    <row r="11">
      <c r="A11" s="9" t="n"/>
      <c r="B11" s="9" t="n"/>
      <c r="C11" s="9" t="n"/>
      <c r="D11" s="9" t="n"/>
    </row>
    <row r="12">
      <c r="A12" s="14" t="n"/>
      <c r="B12" s="14" t="n"/>
      <c r="C12" s="14" t="n"/>
      <c r="D12" s="14" t="n"/>
    </row>
    <row r="13">
      <c r="A13" s="9" t="n"/>
      <c r="B13" s="9" t="n"/>
      <c r="C13" s="9" t="n"/>
      <c r="D13" s="9" t="n"/>
    </row>
    <row r="14">
      <c r="A14" s="14" t="n"/>
      <c r="B14" s="14" t="n"/>
      <c r="C14" s="14" t="n"/>
      <c r="D14" s="14" t="n"/>
    </row>
    <row r="15">
      <c r="A15" s="9" t="n"/>
      <c r="B15" s="9" t="n"/>
      <c r="C15" s="9" t="n"/>
      <c r="D15" s="9" t="n"/>
    </row>
    <row r="16">
      <c r="A16" s="14" t="n"/>
      <c r="B16" s="14" t="n"/>
      <c r="C16" s="14" t="n"/>
      <c r="D16" s="14" t="n"/>
    </row>
    <row r="17">
      <c r="A17" s="9" t="n"/>
      <c r="B17" s="9" t="n"/>
      <c r="C17" s="9" t="n"/>
      <c r="D17" s="9" t="n"/>
    </row>
    <row r="18">
      <c r="A18" s="14" t="n"/>
      <c r="B18" s="14" t="n"/>
      <c r="C18" s="14" t="n"/>
      <c r="D18" s="14" t="n"/>
    </row>
    <row r="19">
      <c r="A19" s="9" t="n"/>
      <c r="B19" s="9" t="n"/>
      <c r="C19" s="9" t="n"/>
      <c r="D19" s="9" t="n"/>
    </row>
    <row r="20">
      <c r="A20" s="14" t="n"/>
      <c r="B20" s="14" t="n"/>
      <c r="C20" s="14" t="n"/>
      <c r="D20" s="14" t="n"/>
    </row>
    <row r="21">
      <c r="A21" s="9" t="n"/>
      <c r="B21" s="9" t="n"/>
      <c r="C21" s="9" t="n"/>
      <c r="D21" s="9" t="n"/>
    </row>
    <row r="22">
      <c r="A22" s="14" t="n"/>
      <c r="B22" s="14" t="n"/>
      <c r="C22" s="14" t="n"/>
      <c r="D22" s="14" t="n"/>
    </row>
    <row r="23">
      <c r="A23" s="9" t="n"/>
      <c r="B23" s="9" t="n"/>
      <c r="C23" s="9" t="n"/>
      <c r="D23" s="9" t="n"/>
    </row>
    <row r="24">
      <c r="A24" s="14" t="n"/>
      <c r="B24" s="14" t="n"/>
      <c r="C24" s="14" t="n"/>
      <c r="D24" s="14" t="n"/>
    </row>
    <row r="25">
      <c r="A25" s="9" t="n"/>
      <c r="B25" s="9" t="n"/>
      <c r="C25" s="9" t="n"/>
      <c r="D25" s="9" t="n"/>
    </row>
    <row r="26">
      <c r="A26" s="14" t="n"/>
      <c r="B26" s="14" t="n"/>
      <c r="C26" s="14" t="n"/>
      <c r="D26" s="14" t="n"/>
    </row>
    <row r="27">
      <c r="A27" s="9" t="n"/>
      <c r="B27" s="9" t="n"/>
      <c r="C27" s="9" t="n"/>
      <c r="D27" s="9" t="n"/>
    </row>
    <row r="28">
      <c r="A28" s="14" t="n"/>
      <c r="B28" s="14" t="n"/>
      <c r="C28" s="14" t="n"/>
      <c r="D28" s="14" t="n"/>
    </row>
    <row r="29">
      <c r="A29" s="9" t="n"/>
      <c r="B29" s="9" t="n"/>
      <c r="C29" s="9" t="n"/>
      <c r="D29" s="9" t="n"/>
    </row>
    <row r="30">
      <c r="A30" s="14" t="n"/>
      <c r="B30" s="14" t="n"/>
      <c r="C30" s="14" t="n"/>
      <c r="D30" s="14" t="n"/>
    </row>
    <row r="31">
      <c r="A31" s="9" t="n"/>
      <c r="B31" s="9" t="n"/>
      <c r="C31" s="9" t="n"/>
      <c r="D31" s="9" t="n"/>
    </row>
    <row r="32">
      <c r="A32" s="14" t="n"/>
      <c r="B32" s="14" t="n"/>
      <c r="C32" s="14" t="n"/>
      <c r="D32" s="14" t="n"/>
    </row>
    <row r="33">
      <c r="A33" s="9" t="n"/>
      <c r="B33" s="9" t="n"/>
      <c r="C33" s="9" t="n"/>
      <c r="D33" s="9" t="n"/>
    </row>
    <row r="34">
      <c r="A34" s="14" t="n"/>
      <c r="B34" s="14" t="n"/>
      <c r="C34" s="14" t="n"/>
      <c r="D34" s="14" t="n"/>
    </row>
    <row r="35">
      <c r="A35" s="9" t="n"/>
      <c r="B35" s="9" t="n"/>
      <c r="C35" s="9" t="n"/>
      <c r="D35" s="9" t="n"/>
    </row>
    <row r="36">
      <c r="A36" s="14" t="n"/>
      <c r="B36" s="14" t="n"/>
      <c r="C36" s="14" t="n"/>
      <c r="D36" s="14" t="n"/>
    </row>
    <row r="37">
      <c r="A37" s="9" t="n"/>
      <c r="B37" s="9" t="n"/>
      <c r="C37" s="9" t="n"/>
      <c r="D37" s="9" t="n"/>
    </row>
    <row r="38">
      <c r="A38" s="14" t="n"/>
      <c r="B38" s="14" t="n"/>
      <c r="C38" s="14" t="n"/>
      <c r="D38" s="14" t="n"/>
    </row>
    <row r="39">
      <c r="A39" s="9" t="n"/>
      <c r="B39" s="9" t="n"/>
      <c r="C39" s="9" t="n"/>
      <c r="D39" s="9" t="n"/>
    </row>
    <row r="40">
      <c r="A40" s="14" t="n"/>
      <c r="B40" s="14" t="n"/>
      <c r="C40" s="14" t="n"/>
      <c r="D40" s="14" t="n"/>
    </row>
    <row r="41">
      <c r="A41" s="9" t="n"/>
      <c r="B41" s="9" t="n"/>
      <c r="C41" s="9" t="n"/>
      <c r="D41" s="9" t="n"/>
    </row>
    <row r="42">
      <c r="A42" s="14" t="n"/>
      <c r="B42" s="14" t="n"/>
      <c r="C42" s="14" t="n"/>
      <c r="D42" s="14" t="n"/>
    </row>
    <row r="43">
      <c r="A43" s="9" t="n"/>
      <c r="B43" s="9" t="n"/>
      <c r="C43" s="9" t="n"/>
      <c r="D43" s="9" t="n"/>
    </row>
    <row r="44">
      <c r="A44" s="14" t="n"/>
      <c r="B44" s="14" t="n"/>
      <c r="C44" s="14" t="n"/>
      <c r="D44" s="14" t="n"/>
    </row>
    <row r="45">
      <c r="A45" s="9" t="n"/>
      <c r="B45" s="9" t="n"/>
      <c r="C45" s="9" t="n"/>
      <c r="D45" s="9" t="n"/>
    </row>
    <row r="46">
      <c r="A46" s="14" t="n"/>
      <c r="B46" s="14" t="n"/>
      <c r="C46" s="14" t="n"/>
      <c r="D46" s="14" t="n"/>
    </row>
    <row r="47">
      <c r="A47" s="9" t="n"/>
      <c r="B47" s="9" t="n"/>
      <c r="C47" s="9" t="n"/>
      <c r="D47" s="9" t="n"/>
    </row>
    <row r="48">
      <c r="A48" s="14" t="n"/>
      <c r="B48" s="14" t="n"/>
      <c r="C48" s="14" t="n"/>
      <c r="D48" s="14" t="n"/>
    </row>
    <row r="49">
      <c r="A49" s="9" t="n"/>
      <c r="B49" s="9" t="n"/>
      <c r="C49" s="9" t="n"/>
      <c r="D49" s="9" t="n"/>
    </row>
    <row r="50">
      <c r="A50" s="14" t="n"/>
      <c r="B50" s="14" t="n"/>
      <c r="C50" s="14" t="n"/>
      <c r="D50" s="14" t="n"/>
    </row>
    <row r="51">
      <c r="A51" s="9" t="n"/>
      <c r="B51" s="9" t="n"/>
      <c r="C51" s="9" t="n"/>
      <c r="D51" s="9" t="n"/>
    </row>
    <row r="52">
      <c r="A52" s="14" t="n"/>
      <c r="B52" s="14" t="n"/>
      <c r="C52" s="14" t="n"/>
      <c r="D52" s="14" t="n"/>
    </row>
    <row r="53">
      <c r="A53" s="9" t="n"/>
      <c r="B53" s="9" t="n"/>
      <c r="C53" s="9" t="n"/>
      <c r="D53" s="9" t="n"/>
    </row>
    <row r="54">
      <c r="A54" s="14" t="n"/>
      <c r="B54" s="14" t="n"/>
      <c r="C54" s="14" t="n"/>
      <c r="D54" s="14" t="n"/>
    </row>
    <row r="55">
      <c r="A55" s="9" t="n"/>
      <c r="B55" s="9" t="n"/>
      <c r="C55" s="9" t="n"/>
      <c r="D55" s="9" t="n"/>
    </row>
    <row r="56">
      <c r="A56" s="14" t="n"/>
      <c r="B56" s="14" t="n"/>
      <c r="C56" s="14" t="n"/>
      <c r="D56" s="14" t="n"/>
    </row>
    <row r="57">
      <c r="A57" s="9" t="n"/>
      <c r="B57" s="9" t="n"/>
      <c r="C57" s="9" t="n"/>
      <c r="D57" s="9" t="n"/>
    </row>
    <row r="58">
      <c r="A58" s="14" t="n"/>
      <c r="B58" s="14" t="n"/>
      <c r="C58" s="14" t="n"/>
      <c r="D58" s="14" t="n"/>
    </row>
    <row r="59">
      <c r="A59" s="9" t="n"/>
      <c r="B59" s="9" t="n"/>
      <c r="C59" s="9" t="n"/>
      <c r="D59" s="9" t="n"/>
    </row>
    <row r="60">
      <c r="A60" s="14" t="n"/>
      <c r="B60" s="14" t="n"/>
      <c r="C60" s="14" t="n"/>
      <c r="D60" s="14" t="n"/>
    </row>
    <row r="61">
      <c r="A61" s="9" t="n"/>
      <c r="B61" s="9" t="n"/>
      <c r="C61" s="9" t="n"/>
      <c r="D61" s="9" t="n"/>
    </row>
    <row r="62">
      <c r="A62" s="14" t="n"/>
      <c r="B62" s="14" t="n"/>
      <c r="C62" s="14" t="n"/>
      <c r="D62" s="14" t="n"/>
    </row>
    <row r="63">
      <c r="A63" s="9" t="n"/>
      <c r="B63" s="9" t="n"/>
      <c r="C63" s="9" t="n"/>
      <c r="D63" s="9" t="n"/>
    </row>
    <row r="64">
      <c r="A64" s="14" t="n"/>
      <c r="B64" s="14" t="n"/>
      <c r="C64" s="14" t="n"/>
      <c r="D64" s="14" t="n"/>
    </row>
    <row r="65">
      <c r="A65" s="9" t="n"/>
      <c r="B65" s="9" t="n"/>
      <c r="C65" s="9" t="n"/>
      <c r="D65" s="9" t="n"/>
    </row>
    <row r="66">
      <c r="A66" s="14" t="n"/>
      <c r="B66" s="14" t="n"/>
      <c r="C66" s="14" t="n"/>
      <c r="D66" s="14" t="n"/>
    </row>
    <row r="67">
      <c r="A67" s="9" t="n"/>
      <c r="B67" s="9" t="n"/>
      <c r="C67" s="9" t="n"/>
      <c r="D67" s="9" t="n"/>
    </row>
    <row r="68">
      <c r="A68" s="14" t="n"/>
      <c r="B68" s="14" t="n"/>
      <c r="C68" s="14" t="n"/>
      <c r="D68" s="14" t="n"/>
    </row>
    <row r="69">
      <c r="A69" s="9" t="n"/>
      <c r="B69" s="9" t="n"/>
      <c r="C69" s="9" t="n"/>
      <c r="D69" s="9" t="n"/>
    </row>
    <row r="70">
      <c r="A70" s="14" t="n"/>
      <c r="B70" s="14" t="n"/>
      <c r="C70" s="14" t="n"/>
      <c r="D70" s="14" t="n"/>
    </row>
    <row r="71">
      <c r="A71" s="9" t="n"/>
      <c r="B71" s="9" t="n"/>
      <c r="C71" s="9" t="n"/>
      <c r="D71" s="9" t="n"/>
    </row>
    <row r="72">
      <c r="A72" s="14" t="n"/>
      <c r="B72" s="14" t="n"/>
      <c r="C72" s="14" t="n"/>
      <c r="D72" s="14" t="n"/>
    </row>
    <row r="73">
      <c r="A73" s="9" t="n"/>
      <c r="B73" s="9" t="n"/>
      <c r="C73" s="9" t="n"/>
      <c r="D73" s="9" t="n"/>
    </row>
    <row r="74">
      <c r="A74" s="14" t="n"/>
      <c r="B74" s="14" t="n"/>
      <c r="C74" s="14" t="n"/>
      <c r="D74" s="14" t="n"/>
    </row>
    <row r="75">
      <c r="A75" s="9" t="n"/>
      <c r="B75" s="9" t="n"/>
      <c r="C75" s="9" t="n"/>
      <c r="D75" s="9" t="n"/>
    </row>
    <row r="76">
      <c r="A76" s="14" t="n"/>
      <c r="B76" s="14" t="n"/>
      <c r="C76" s="14" t="n"/>
      <c r="D76" s="14" t="n"/>
    </row>
    <row r="77">
      <c r="A77" s="9" t="n"/>
      <c r="B77" s="9" t="n"/>
      <c r="C77" s="9" t="n"/>
      <c r="D77" s="9" t="n"/>
    </row>
    <row r="78">
      <c r="A78" s="14" t="n"/>
      <c r="B78" s="14" t="n"/>
      <c r="C78" s="14" t="n"/>
      <c r="D78" s="14" t="n"/>
    </row>
    <row r="79">
      <c r="A79" s="9" t="n"/>
      <c r="B79" s="9" t="n"/>
      <c r="C79" s="9" t="n"/>
      <c r="D79" s="9" t="n"/>
    </row>
    <row r="80">
      <c r="A80" s="14" t="n"/>
      <c r="B80" s="14" t="n"/>
      <c r="C80" s="14" t="n"/>
      <c r="D80" s="14" t="n"/>
    </row>
    <row r="81">
      <c r="A81" s="9" t="n"/>
      <c r="B81" s="9" t="n"/>
      <c r="C81" s="9" t="n"/>
      <c r="D81" s="9" t="n"/>
    </row>
    <row r="82">
      <c r="A82" s="14" t="n"/>
      <c r="B82" s="14" t="n"/>
      <c r="C82" s="14" t="n"/>
      <c r="D82" s="14" t="n"/>
    </row>
    <row r="83">
      <c r="A83" s="9" t="n"/>
      <c r="B83" s="9" t="n"/>
      <c r="C83" s="9" t="n"/>
      <c r="D83" s="9" t="n"/>
    </row>
    <row r="84">
      <c r="A84" s="14" t="n"/>
      <c r="B84" s="14" t="n"/>
      <c r="C84" s="14" t="n"/>
      <c r="D84" s="14" t="n"/>
    </row>
    <row r="85">
      <c r="A85" s="9" t="n"/>
      <c r="B85" s="9" t="n"/>
      <c r="C85" s="9" t="n"/>
      <c r="D85" s="9" t="n"/>
    </row>
    <row r="86">
      <c r="A86" s="14" t="n"/>
      <c r="B86" s="14" t="n"/>
      <c r="C86" s="14" t="n"/>
      <c r="D86" s="14" t="n"/>
    </row>
    <row r="87">
      <c r="A87" s="9" t="n"/>
      <c r="B87" s="9" t="n"/>
      <c r="C87" s="9" t="n"/>
      <c r="D87" s="9" t="n"/>
    </row>
    <row r="88">
      <c r="A88" s="14" t="n"/>
      <c r="B88" s="14" t="n"/>
      <c r="C88" s="14" t="n"/>
      <c r="D88" s="14" t="n"/>
    </row>
    <row r="89">
      <c r="A89" s="9" t="n"/>
      <c r="B89" s="9" t="n"/>
      <c r="C89" s="9" t="n"/>
      <c r="D89" s="9" t="n"/>
    </row>
    <row r="90">
      <c r="A90" s="14" t="n"/>
      <c r="B90" s="14" t="n"/>
      <c r="C90" s="14" t="n"/>
      <c r="D90" s="14" t="n"/>
    </row>
    <row r="91">
      <c r="A91" s="9" t="n"/>
      <c r="B91" s="9" t="n"/>
      <c r="C91" s="9" t="n"/>
      <c r="D91" s="9" t="n"/>
    </row>
    <row r="92">
      <c r="A92" s="14" t="n"/>
      <c r="B92" s="14" t="n"/>
      <c r="C92" s="14" t="n"/>
      <c r="D92" s="14" t="n"/>
    </row>
    <row r="93">
      <c r="A93" s="9" t="n"/>
      <c r="B93" s="9" t="n"/>
      <c r="C93" s="9" t="n"/>
      <c r="D93" s="9" t="n"/>
    </row>
    <row r="94">
      <c r="A94" s="14" t="n"/>
      <c r="B94" s="14" t="n"/>
      <c r="C94" s="14" t="n"/>
      <c r="D94" s="14" t="n"/>
    </row>
    <row r="95">
      <c r="A95" s="9" t="n"/>
      <c r="B95" s="9" t="n"/>
      <c r="C95" s="9" t="n"/>
      <c r="D95" s="9" t="n"/>
    </row>
    <row r="96">
      <c r="A96" s="14" t="n"/>
      <c r="B96" s="14" t="n"/>
      <c r="C96" s="14" t="n"/>
      <c r="D96" s="14" t="n"/>
    </row>
    <row r="97">
      <c r="A97" s="9" t="n"/>
      <c r="B97" s="9" t="n"/>
      <c r="C97" s="9" t="n"/>
      <c r="D97" s="9" t="n"/>
    </row>
    <row r="98">
      <c r="A98" s="14" t="n"/>
      <c r="B98" s="14" t="n"/>
      <c r="C98" s="14" t="n"/>
      <c r="D98" s="14" t="n"/>
    </row>
    <row r="99">
      <c r="A99" s="9" t="n"/>
      <c r="B99" s="9" t="n"/>
      <c r="C99" s="9" t="n"/>
      <c r="D99" s="9" t="n"/>
    </row>
    <row r="100">
      <c r="A100" s="14" t="n"/>
      <c r="B100" s="14" t="n"/>
      <c r="C100" s="14" t="n"/>
      <c r="D100" s="14" t="n"/>
    </row>
    <row r="101">
      <c r="A101" s="9" t="n"/>
      <c r="B101" s="9" t="n"/>
      <c r="C101" s="9" t="n"/>
      <c r="D101" s="9" t="n"/>
    </row>
    <row r="102">
      <c r="A102" s="14" t="n"/>
      <c r="B102" s="14" t="n"/>
      <c r="C102" s="14" t="n"/>
      <c r="D102" s="14" t="n"/>
    </row>
    <row r="103">
      <c r="A103" s="9" t="n"/>
      <c r="B103" s="9" t="n"/>
      <c r="C103" s="9" t="n"/>
      <c r="D103" s="9" t="n"/>
    </row>
    <row r="104">
      <c r="A104" s="14" t="n"/>
      <c r="B104" s="14" t="n"/>
      <c r="C104" s="14" t="n"/>
      <c r="D104" s="14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MONTHLY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3" t="inlineStr">
        <is>
          <t>Month</t>
        </is>
      </c>
      <c r="B3" s="13" t="inlineStr">
        <is>
          <t>Income</t>
        </is>
      </c>
      <c r="C3" s="13" t="inlineStr">
        <is>
          <t>Needs</t>
        </is>
      </c>
      <c r="D3" s="13" t="inlineStr">
        <is>
          <t>Wants</t>
        </is>
      </c>
      <c r="E3" s="13" t="inlineStr">
        <is>
          <t>Savings</t>
        </is>
      </c>
      <c r="F3" s="13" t="inlineStr">
        <is>
          <t>Needs %</t>
        </is>
      </c>
      <c r="G3" s="13" t="inlineStr">
        <is>
          <t>Wants %</t>
        </is>
      </c>
      <c r="H3" s="13" t="inlineStr">
        <is>
          <t>Savings %</t>
        </is>
      </c>
      <c r="I3" s="13" t="inlineStr">
        <is>
          <t>Status</t>
        </is>
      </c>
    </row>
    <row r="4">
      <c r="A4" s="16" t="inlineStr">
        <is>
          <t>Jan</t>
        </is>
      </c>
      <c r="B4" s="10" t="n">
        <v>5000</v>
      </c>
      <c r="C4" s="10" t="n">
        <v>2315</v>
      </c>
      <c r="D4" s="10" t="n">
        <v>267.48</v>
      </c>
      <c r="E4" s="10" t="n">
        <v>1000</v>
      </c>
      <c r="F4" s="17">
        <f>IF(B4&gt;0,C4/B4,0)</f>
        <v/>
      </c>
      <c r="G4" s="17">
        <f>IF(B4&gt;0,D4/B4,0)</f>
        <v/>
      </c>
      <c r="H4" s="17">
        <f>IF(B4&gt;0,E4/B4,0)</f>
        <v/>
      </c>
      <c r="I4" s="16">
        <f>IF(B4=0,"—",IF(AND(F4&lt;=0.55,G4&lt;=0.35,H4&gt;=0.15),"On Track","Over Budget"))</f>
        <v/>
      </c>
    </row>
    <row r="5">
      <c r="A5" s="18" t="inlineStr">
        <is>
          <t>Feb</t>
        </is>
      </c>
      <c r="B5" s="15" t="n">
        <v>5000</v>
      </c>
      <c r="C5" s="15" t="n">
        <v>2400</v>
      </c>
      <c r="D5" s="15" t="n">
        <v>1350</v>
      </c>
      <c r="E5" s="15" t="n">
        <v>1000</v>
      </c>
      <c r="F5" s="19">
        <f>IF(B5&gt;0,C5/B5,0)</f>
        <v/>
      </c>
      <c r="G5" s="19">
        <f>IF(B5&gt;0,D5/B5,0)</f>
        <v/>
      </c>
      <c r="H5" s="19">
        <f>IF(B5&gt;0,E5/B5,0)</f>
        <v/>
      </c>
      <c r="I5" s="18">
        <f>IF(B5=0,"—",IF(AND(F5&lt;=0.55,G5&lt;=0.35,H5&gt;=0.15),"On Track","Over Budget"))</f>
        <v/>
      </c>
    </row>
    <row r="6">
      <c r="A6" s="16" t="inlineStr">
        <is>
          <t>Mar</t>
        </is>
      </c>
      <c r="B6" s="10" t="n">
        <v>5200</v>
      </c>
      <c r="C6" s="10" t="n">
        <v>2500</v>
      </c>
      <c r="D6" s="10" t="n">
        <v>1400</v>
      </c>
      <c r="E6" s="10" t="n">
        <v>1050</v>
      </c>
      <c r="F6" s="17">
        <f>IF(B6&gt;0,C6/B6,0)</f>
        <v/>
      </c>
      <c r="G6" s="17">
        <f>IF(B6&gt;0,D6/B6,0)</f>
        <v/>
      </c>
      <c r="H6" s="17">
        <f>IF(B6&gt;0,E6/B6,0)</f>
        <v/>
      </c>
      <c r="I6" s="16">
        <f>IF(B6=0,"—",IF(AND(F6&lt;=0.55,G6&lt;=0.35,H6&gt;=0.15),"On Track","Over Budget"))</f>
        <v/>
      </c>
    </row>
    <row r="7">
      <c r="A7" s="18" t="inlineStr">
        <is>
          <t>Apr</t>
        </is>
      </c>
      <c r="B7" s="15" t="n">
        <v>5000</v>
      </c>
      <c r="C7" s="15" t="n">
        <v>0</v>
      </c>
      <c r="D7" s="15" t="n">
        <v>0</v>
      </c>
      <c r="E7" s="15" t="n">
        <v>0</v>
      </c>
      <c r="F7" s="19">
        <f>IF(B7&gt;0,C7/B7,0)</f>
        <v/>
      </c>
      <c r="G7" s="19">
        <f>IF(B7&gt;0,D7/B7,0)</f>
        <v/>
      </c>
      <c r="H7" s="19">
        <f>IF(B7&gt;0,E7/B7,0)</f>
        <v/>
      </c>
      <c r="I7" s="18">
        <f>IF(B7=0,"—",IF(AND(F7&lt;=0.55,G7&lt;=0.35,H7&gt;=0.15),"On Track","Over Budget"))</f>
        <v/>
      </c>
    </row>
    <row r="8">
      <c r="A8" s="16" t="inlineStr">
        <is>
          <t>May</t>
        </is>
      </c>
      <c r="B8" s="10" t="n">
        <v>5000</v>
      </c>
      <c r="C8" s="10" t="n">
        <v>0</v>
      </c>
      <c r="D8" s="10" t="n">
        <v>0</v>
      </c>
      <c r="E8" s="10" t="n">
        <v>0</v>
      </c>
      <c r="F8" s="17">
        <f>IF(B8&gt;0,C8/B8,0)</f>
        <v/>
      </c>
      <c r="G8" s="17">
        <f>IF(B8&gt;0,D8/B8,0)</f>
        <v/>
      </c>
      <c r="H8" s="17">
        <f>IF(B8&gt;0,E8/B8,0)</f>
        <v/>
      </c>
      <c r="I8" s="16">
        <f>IF(B8=0,"—",IF(AND(F8&lt;=0.55,G8&lt;=0.35,H8&gt;=0.15),"On Track","Over Budget"))</f>
        <v/>
      </c>
    </row>
    <row r="9">
      <c r="A9" s="18" t="inlineStr">
        <is>
          <t>Jun</t>
        </is>
      </c>
      <c r="B9" s="15" t="n">
        <v>5000</v>
      </c>
      <c r="C9" s="15" t="n">
        <v>0</v>
      </c>
      <c r="D9" s="15" t="n">
        <v>0</v>
      </c>
      <c r="E9" s="15" t="n">
        <v>0</v>
      </c>
      <c r="F9" s="19">
        <f>IF(B9&gt;0,C9/B9,0)</f>
        <v/>
      </c>
      <c r="G9" s="19">
        <f>IF(B9&gt;0,D9/B9,0)</f>
        <v/>
      </c>
      <c r="H9" s="19">
        <f>IF(B9&gt;0,E9/B9,0)</f>
        <v/>
      </c>
      <c r="I9" s="18">
        <f>IF(B9=0,"—",IF(AND(F9&lt;=0.55,G9&lt;=0.35,H9&gt;=0.15),"On Track","Over Budget"))</f>
        <v/>
      </c>
    </row>
    <row r="10">
      <c r="A10" s="16" t="inlineStr">
        <is>
          <t>Jul</t>
        </is>
      </c>
      <c r="B10" s="10" t="n">
        <v>5000</v>
      </c>
      <c r="C10" s="10" t="n">
        <v>0</v>
      </c>
      <c r="D10" s="10" t="n">
        <v>0</v>
      </c>
      <c r="E10" s="10" t="n">
        <v>0</v>
      </c>
      <c r="F10" s="17">
        <f>IF(B10&gt;0,C10/B10,0)</f>
        <v/>
      </c>
      <c r="G10" s="17">
        <f>IF(B10&gt;0,D10/B10,0)</f>
        <v/>
      </c>
      <c r="H10" s="17">
        <f>IF(B10&gt;0,E10/B10,0)</f>
        <v/>
      </c>
      <c r="I10" s="16">
        <f>IF(B10=0,"—",IF(AND(F10&lt;=0.55,G10&lt;=0.35,H10&gt;=0.15),"On Track","Over Budget"))</f>
        <v/>
      </c>
    </row>
    <row r="11">
      <c r="A11" s="18" t="inlineStr">
        <is>
          <t>Aug</t>
        </is>
      </c>
      <c r="B11" s="15" t="n">
        <v>5000</v>
      </c>
      <c r="C11" s="15" t="n">
        <v>0</v>
      </c>
      <c r="D11" s="15" t="n">
        <v>0</v>
      </c>
      <c r="E11" s="15" t="n">
        <v>0</v>
      </c>
      <c r="F11" s="19">
        <f>IF(B11&gt;0,C11/B11,0)</f>
        <v/>
      </c>
      <c r="G11" s="19">
        <f>IF(B11&gt;0,D11/B11,0)</f>
        <v/>
      </c>
      <c r="H11" s="19">
        <f>IF(B11&gt;0,E11/B11,0)</f>
        <v/>
      </c>
      <c r="I11" s="18">
        <f>IF(B11=0,"—",IF(AND(F11&lt;=0.55,G11&lt;=0.35,H11&gt;=0.15),"On Track","Over Budget"))</f>
        <v/>
      </c>
    </row>
    <row r="12">
      <c r="A12" s="16" t="inlineStr">
        <is>
          <t>Sep</t>
        </is>
      </c>
      <c r="B12" s="10" t="n">
        <v>5200</v>
      </c>
      <c r="C12" s="10" t="n">
        <v>0</v>
      </c>
      <c r="D12" s="10" t="n">
        <v>0</v>
      </c>
      <c r="E12" s="10" t="n">
        <v>0</v>
      </c>
      <c r="F12" s="17">
        <f>IF(B12&gt;0,C12/B12,0)</f>
        <v/>
      </c>
      <c r="G12" s="17">
        <f>IF(B12&gt;0,D12/B12,0)</f>
        <v/>
      </c>
      <c r="H12" s="17">
        <f>IF(B12&gt;0,E12/B12,0)</f>
        <v/>
      </c>
      <c r="I12" s="16">
        <f>IF(B12=0,"—",IF(AND(F12&lt;=0.55,G12&lt;=0.35,H12&gt;=0.15),"On Track","Over Budget"))</f>
        <v/>
      </c>
    </row>
    <row r="13">
      <c r="A13" s="18" t="inlineStr">
        <is>
          <t>Oct</t>
        </is>
      </c>
      <c r="B13" s="15" t="n">
        <v>5000</v>
      </c>
      <c r="C13" s="15" t="n">
        <v>0</v>
      </c>
      <c r="D13" s="15" t="n">
        <v>0</v>
      </c>
      <c r="E13" s="15" t="n">
        <v>0</v>
      </c>
      <c r="F13" s="19">
        <f>IF(B13&gt;0,C13/B13,0)</f>
        <v/>
      </c>
      <c r="G13" s="19">
        <f>IF(B13&gt;0,D13/B13,0)</f>
        <v/>
      </c>
      <c r="H13" s="19">
        <f>IF(B13&gt;0,E13/B13,0)</f>
        <v/>
      </c>
      <c r="I13" s="18">
        <f>IF(B13=0,"—",IF(AND(F13&lt;=0.55,G13&lt;=0.35,H13&gt;=0.15),"On Track","Over Budget"))</f>
        <v/>
      </c>
    </row>
    <row r="14">
      <c r="A14" s="16" t="inlineStr">
        <is>
          <t>Nov</t>
        </is>
      </c>
      <c r="B14" s="10" t="n">
        <v>5500</v>
      </c>
      <c r="C14" s="10" t="n">
        <v>0</v>
      </c>
      <c r="D14" s="10" t="n">
        <v>0</v>
      </c>
      <c r="E14" s="10" t="n">
        <v>0</v>
      </c>
      <c r="F14" s="17">
        <f>IF(B14&gt;0,C14/B14,0)</f>
        <v/>
      </c>
      <c r="G14" s="17">
        <f>IF(B14&gt;0,D14/B14,0)</f>
        <v/>
      </c>
      <c r="H14" s="17">
        <f>IF(B14&gt;0,E14/B14,0)</f>
        <v/>
      </c>
      <c r="I14" s="16">
        <f>IF(B14=0,"—",IF(AND(F14&lt;=0.55,G14&lt;=0.35,H14&gt;=0.15),"On Track","Over Budget"))</f>
        <v/>
      </c>
    </row>
    <row r="15">
      <c r="A15" s="18" t="inlineStr">
        <is>
          <t>Dec</t>
        </is>
      </c>
      <c r="B15" s="15" t="n">
        <v>6000</v>
      </c>
      <c r="C15" s="15" t="n">
        <v>0</v>
      </c>
      <c r="D15" s="15" t="n">
        <v>0</v>
      </c>
      <c r="E15" s="15" t="n">
        <v>0</v>
      </c>
      <c r="F15" s="19">
        <f>IF(B15&gt;0,C15/B15,0)</f>
        <v/>
      </c>
      <c r="G15" s="19">
        <f>IF(B15&gt;0,D15/B15,0)</f>
        <v/>
      </c>
      <c r="H15" s="19">
        <f>IF(B15&gt;0,E15/B15,0)</f>
        <v/>
      </c>
      <c r="I15" s="18">
        <f>IF(B15=0,"—",IF(AND(F15&lt;=0.55,G15&lt;=0.35,H15&gt;=0.15),"On Track","Over Budget"))</f>
        <v/>
      </c>
    </row>
  </sheetData>
  <mergeCells count="1">
    <mergeCell ref="A1:I1"/>
  </mergeCells>
  <conditionalFormatting sqref="I4:I15">
    <cfRule type="cellIs" priority="1" operator="equal" dxfId="1">
      <formula>"On Track"</formula>
    </cfRule>
    <cfRule type="cellIs" priority="2" operator="equal" dxfId="0">
      <formula>"Over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THE 50/30/20 BUDGET</t>
        </is>
      </c>
      <c r="B1" s="2" t="n"/>
    </row>
    <row r="3">
      <c r="B3" s="20" t="inlineStr">
        <is>
          <t>The 50/30/20 Rule</t>
        </is>
      </c>
    </row>
    <row r="4" ht="22" customHeight="1">
      <c r="B4" s="21" t="inlineStr">
        <is>
          <t>50% NEEDS: Essential expenses you can't avoid (rent, food, bills)</t>
        </is>
      </c>
    </row>
    <row r="5" ht="22" customHeight="1">
      <c r="B5" s="21" t="inlineStr">
        <is>
          <t>30% WANTS: Lifestyle spending (dining, entertainment, shopping)</t>
        </is>
      </c>
    </row>
    <row r="6" ht="22" customHeight="1">
      <c r="B6" s="21" t="inlineStr">
        <is>
          <t>20% SAVINGS: Building your future (emergency fund, investments, debt payoff)</t>
        </is>
      </c>
    </row>
    <row r="8">
      <c r="B8" s="20" t="inlineStr">
        <is>
          <t>Getting Started</t>
        </is>
      </c>
    </row>
    <row r="9" ht="22" customHeight="1">
      <c r="B9" s="21" t="inlineStr">
        <is>
          <t>1. Enter your monthly income on the Dashboard</t>
        </is>
      </c>
    </row>
    <row r="10" ht="22" customHeight="1">
      <c r="B10" s="21" t="inlineStr">
        <is>
          <t>2. Log needs expenses in the 'Needs' tab</t>
        </is>
      </c>
    </row>
    <row r="11" ht="22" customHeight="1">
      <c r="B11" s="21" t="inlineStr">
        <is>
          <t>3. Log wants expenses in the 'Wants' tab</t>
        </is>
      </c>
    </row>
    <row r="12" ht="22" customHeight="1">
      <c r="B12" s="21" t="inlineStr">
        <is>
          <t>4. Log savings/investments in the 'Savings' tab</t>
        </is>
      </c>
    </row>
    <row r="13" ht="22" customHeight="1">
      <c r="B13" s="21" t="inlineStr">
        <is>
          <t>5. Dashboard updates automatically!</t>
        </is>
      </c>
    </row>
    <row r="15">
      <c r="B15" s="20" t="inlineStr">
        <is>
          <t>Tips</t>
        </is>
      </c>
    </row>
    <row r="16" ht="22" customHeight="1">
      <c r="B16" s="21" t="inlineStr">
        <is>
          <t>- Check Dashboard weekly to stay on track</t>
        </is>
      </c>
    </row>
    <row r="17" ht="22" customHeight="1">
      <c r="B17" s="21" t="inlineStr">
        <is>
          <t>- If Needs &gt; 50%, look for ways to reduce fixed costs</t>
        </is>
      </c>
    </row>
    <row r="18" ht="22" customHeight="1">
      <c r="B18" s="21" t="inlineStr">
        <is>
          <t>- If Wants &gt; 30%, find free/cheap alternatives</t>
        </is>
      </c>
    </row>
    <row r="19" ht="22" customHeight="1">
      <c r="B19" s="21" t="inlineStr">
        <is>
          <t>- Always pay yourself first (automate savings!)</t>
        </is>
      </c>
    </row>
    <row r="20" ht="22" customHeight="1">
      <c r="B20" s="21" t="inlineStr">
        <is>
          <t>- Update Monthly Summary at end of each month</t>
        </is>
      </c>
    </row>
    <row r="22">
      <c r="B22" s="20" t="inlineStr">
        <is>
          <t>Need Help?</t>
        </is>
      </c>
    </row>
    <row r="23" ht="22" customHeight="1">
      <c r="B23" s="21" t="inlineStr">
        <is>
          <t>Message us on Etsy!</t>
        </is>
      </c>
    </row>
    <row r="24" ht="22" customHeight="1">
      <c r="B24" s="21" t="inlineStr">
        <is>
          <t>The 50/30/20 rule is a guideline — adjust to fit YOUR life!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2026-03-31T21:17:21Z</dcterms:created>
  <dcterms:modified xsi:type="dcterms:W3CDTF">2026-03-31T21:17:22Z</dcterms:modified>
</cp:coreProperties>
</file>