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儀表板" sheetId="1" state="visible" r:id="rId1"/>
    <sheet name="使用說明" sheetId="2" state="visible" r:id="rId2"/>
    <sheet name="選品庫" sheetId="3" state="visible" r:id="rId3"/>
    <sheet name="貼文日誌" sheetId="4" state="visible" r:id="rId4"/>
    <sheet name="每日數據" sheetId="5" state="visible" r:id="rId5"/>
    <sheet name="月結對帳" sheetId="6" state="visible" r:id="rId6"/>
    <sheet name="收入模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"/>
    <numFmt numFmtId="166" formatCode="#,##0;[Red]-#,##0"/>
    <numFmt numFmtId="167" formatCode="#,##0.0"/>
  </numFmts>
  <fonts count="6">
    <font>
      <name val="Calibri"/>
      <family val="2"/>
      <color theme="1"/>
      <sz val="11"/>
      <scheme val="minor"/>
    </font>
    <font>
      <name val="Microsoft JhengHei"/>
      <b val="1"/>
      <color rgb="002D5F2D"/>
      <sz val="14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b val="1"/>
      <sz val="10"/>
    </font>
    <font>
      <name val="Microsoft JhengHei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2D5F2D"/>
      </patternFill>
    </fill>
    <fill>
      <patternFill patternType="solid">
        <fgColor rgb="00FFF9E6"/>
      </patternFill>
    </fill>
    <fill>
      <patternFill patternType="solid">
        <fgColor rgb="00F5F0E8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3" fontId="2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 wrapText="1"/>
    </xf>
    <xf numFmtId="9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5" fontId="2" fillId="3" borderId="1" applyAlignment="1" pivotButton="0" quotePrefix="0" xfId="0">
      <alignment vertical="center" wrapText="1"/>
    </xf>
    <xf numFmtId="166" fontId="2" fillId="4" borderId="1" applyAlignment="1" pivotButton="0" quotePrefix="0" xfId="0">
      <alignment vertical="center" wrapText="1"/>
    </xf>
    <xf numFmtId="167" fontId="2" fillId="4" borderId="1" applyAlignment="1" pivotButton="0" quotePrefix="0" xfId="0">
      <alignment vertical="center" wrapText="1"/>
    </xf>
    <xf numFmtId="3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E3F1E3"/>
        </patternFill>
      </fill>
    </dxf>
    <dxf>
      <fill>
        <patternFill patternType="solid">
          <fgColor rgb="00FDE2DC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>
      <c r="A1" s="1" t="inlineStr">
        <is>
          <t>小資效率實驗室 — KPI 儀表板</t>
        </is>
      </c>
    </row>
    <row r="2">
      <c r="A2" s="2">
        <f>TEXT(TODAY(),"yyyy-mm")</f>
        <v/>
      </c>
      <c r="B2" s="2" t="inlineStr">
        <is>
          <t>← 本月（自動）</t>
        </is>
      </c>
    </row>
    <row r="4" ht="28" customHeight="1">
      <c r="A4" s="3" t="inlineStr">
        <is>
          <t>指標</t>
        </is>
      </c>
      <c r="B4" s="3" t="inlineStr">
        <is>
          <t>本月</t>
        </is>
      </c>
      <c r="C4" s="3" t="inlineStr">
        <is>
          <t>上月</t>
        </is>
      </c>
      <c r="D4" s="3" t="inlineStr">
        <is>
          <t>累計</t>
        </is>
      </c>
      <c r="E4" s="3" t="inlineStr">
        <is>
          <t>說明</t>
        </is>
      </c>
    </row>
    <row r="5">
      <c r="A5" s="4" t="inlineStr">
        <is>
          <t>貼文數</t>
        </is>
      </c>
      <c r="B5" s="5">
        <f>COUNTIFS(貼文日誌!A:A,"&gt;="&amp;DATE(YEAR(TODAY()),MONTH(TODAY()),1),貼文日誌!A:A,"&lt;"&amp;EDATE(DATE(YEAR(TODAY()),MONTH(TODAY()),1),1))</f>
        <v/>
      </c>
      <c r="C5" s="5">
        <f>COUNTIFS(貼文日誌!A:A,"&gt;="&amp;EDATE(DATE(YEAR(TODAY()),MONTH(TODAY()),1),-1),貼文日誌!A:A,"&lt;"&amp;DATE(YEAR(TODAY()),MONTH(TODAY()),1))</f>
        <v/>
      </c>
      <c r="D5" s="5">
        <f>COUNTA(貼文日誌!A2:A1000)</f>
        <v/>
      </c>
      <c r="E5" s="6" t="inlineStr">
        <is>
          <t>創作者分級看「創作天數」，每天至少 1 篇</t>
        </is>
      </c>
    </row>
    <row r="6">
      <c r="A6" s="4" t="inlineStr">
        <is>
          <t>點擊</t>
        </is>
      </c>
      <c r="B6" s="5">
        <f>SUMIFS(每日數據!C:C,每日數據!H:H,$A$2)</f>
        <v/>
      </c>
      <c r="C6" s="5">
        <f>SUMIFS(每日數據!C:C,每日數據!H:H,TEXT(EDATE(TODAY(),-1),"yyyy-mm"))</f>
        <v/>
      </c>
      <c r="D6" s="5">
        <f>SUM(每日數據!C2:C1000)</f>
        <v/>
      </c>
      <c r="E6" s="6" t="inlineStr"/>
    </row>
    <row r="7">
      <c r="A7" s="4" t="inlineStr">
        <is>
          <t>訂單</t>
        </is>
      </c>
      <c r="B7" s="5">
        <f>SUMIFS(每日數據!D:D,每日數據!H:H,$A$2)</f>
        <v/>
      </c>
      <c r="C7" s="5">
        <f>SUMIFS(每日數據!D:D,每日數據!H:H,TEXT(EDATE(TODAY(),-1),"yyyy-mm"))</f>
        <v/>
      </c>
      <c r="D7" s="5">
        <f>SUM(每日數據!D2:D1000)</f>
        <v/>
      </c>
      <c r="E7" s="6" t="inlineStr">
        <is>
          <t>等級 1 要日均 ≥1 單；等級 2 要日均 ≥10 單</t>
        </is>
      </c>
    </row>
    <row r="8">
      <c r="A8" s="4" t="inlineStr">
        <is>
          <t>訂單金額</t>
        </is>
      </c>
      <c r="B8" s="5">
        <f>SUMIFS(每日數據!E:E,每日數據!H:H,$A$2)</f>
        <v/>
      </c>
      <c r="C8" s="5">
        <f>SUMIFS(每日數據!E:E,每日數據!H:H,TEXT(EDATE(TODAY(),-1),"yyyy-mm"))</f>
        <v/>
      </c>
      <c r="D8" s="5">
        <f>SUM(每日數據!E2:E1000)</f>
        <v/>
      </c>
      <c r="E8" s="6" t="inlineStr"/>
    </row>
    <row r="9">
      <c r="A9" s="4" t="inlineStr">
        <is>
          <t>分潤金（預估）</t>
        </is>
      </c>
      <c r="B9" s="5">
        <f>SUMIFS(每日數據!F:F,每日數據!H:H,$A$2)</f>
        <v/>
      </c>
      <c r="C9" s="5">
        <f>SUMIFS(每日數據!F:F,每日數據!H:H,TEXT(EDATE(TODAY(),-1),"yyyy-mm"))</f>
        <v/>
      </c>
      <c r="D9" s="5">
        <f>SUM(每日數據!F2:F1000)</f>
        <v/>
      </c>
      <c r="E9" s="6" t="inlineStr">
        <is>
          <t>以後台對帳為準</t>
        </is>
      </c>
    </row>
    <row r="10">
      <c r="A10" s="4" t="inlineStr">
        <is>
          <t>轉換率（訂單/點擊）</t>
        </is>
      </c>
      <c r="B10" s="7">
        <f>IF(B6=0,"",B7/B6)</f>
        <v/>
      </c>
      <c r="C10" s="7">
        <f>IF(C6=0,"",C7/C6)</f>
        <v/>
      </c>
      <c r="D10" s="7">
        <f>IF(D6=0,"",D7/D6)</f>
        <v/>
      </c>
      <c r="E10" s="6" t="inlineStr">
        <is>
          <t>健康值 2-5%</t>
        </is>
      </c>
    </row>
    <row r="11">
      <c r="A11" s="4" t="inlineStr">
        <is>
          <t>每單平均分潤</t>
        </is>
      </c>
      <c r="B11" s="5">
        <f>IF(B7=0,"",B9/B7)</f>
        <v/>
      </c>
      <c r="C11" s="5">
        <f>IF(C7=0,"",C9/C7)</f>
        <v/>
      </c>
      <c r="D11" s="5">
        <f>IF(D7=0,"",D9/D7)</f>
        <v/>
      </c>
      <c r="E11" s="6" t="inlineStr">
        <is>
          <t>太低 → 換高單價或加碼商品</t>
        </is>
      </c>
    </row>
    <row r="12">
      <c r="A12" s="4" t="inlineStr">
        <is>
          <t>每篇貼文帶來分潤</t>
        </is>
      </c>
      <c r="B12" s="5">
        <f>IF(B5=0,"",B9/B5)</f>
        <v/>
      </c>
      <c r="C12" s="5">
        <f>IF(C5=0,"",C9/C5)</f>
        <v/>
      </c>
      <c r="D12" s="5">
        <f>IF(D5=0,"",D9/D5)</f>
        <v/>
      </c>
      <c r="E12" s="6" t="inlineStr">
        <is>
          <t>衡量內容效率</t>
        </is>
      </c>
    </row>
    <row r="15" ht="28" customHeight="1">
      <c r="A15" s="3" t="inlineStr">
        <is>
          <t>目標達成</t>
        </is>
      </c>
      <c r="B15" s="3" t="inlineStr">
        <is>
          <t>目標</t>
        </is>
      </c>
      <c r="C15" s="3" t="inlineStr">
        <is>
          <t>本月分潤</t>
        </is>
      </c>
      <c r="D15" s="3" t="inlineStr">
        <is>
          <t>達成率</t>
        </is>
      </c>
    </row>
    <row r="16">
      <c r="A16" s="6" t="inlineStr">
        <is>
          <t>第 1 個月目標</t>
        </is>
      </c>
      <c r="B16" s="8" t="n">
        <v>500</v>
      </c>
      <c r="C16" s="5">
        <f>B9</f>
        <v/>
      </c>
      <c r="D16" s="9">
        <f>IF(B16=0,0,C16/B16)</f>
        <v/>
      </c>
    </row>
    <row r="17">
      <c r="A17" s="6" t="inlineStr">
        <is>
          <t>第 3 個月目標</t>
        </is>
      </c>
      <c r="B17" s="8" t="n">
        <v>5000</v>
      </c>
      <c r="C17" s="5">
        <f>B9</f>
        <v/>
      </c>
      <c r="D17" s="9">
        <f>IF(B17=0,0,C17/B17)</f>
        <v/>
      </c>
    </row>
    <row r="18">
      <c r="A18" s="6" t="inlineStr">
        <is>
          <t>第 6 個月目標</t>
        </is>
      </c>
      <c r="B18" s="8" t="n">
        <v>20000</v>
      </c>
      <c r="C18" s="5">
        <f>B9</f>
        <v/>
      </c>
      <c r="D18" s="9">
        <f>IF(B18=0,0,C18/B18)</f>
        <v/>
      </c>
    </row>
    <row r="20">
      <c r="A20" s="4" t="inlineStr">
        <is>
          <t>提領狀態</t>
        </is>
      </c>
      <c r="B20" s="10">
        <f>IF(D9&gt;=500,"✅ 累計已達 500，可到後台申請提領","未達 500，繼續累積")</f>
        <v/>
      </c>
      <c r="C20" s="11" t="n"/>
      <c r="D20" s="11" t="n"/>
      <c r="E20" s="12" t="n"/>
    </row>
  </sheetData>
  <mergeCells count="1">
    <mergeCell ref="B20:E20"/>
  </mergeCells>
  <conditionalFormatting sqref="D16:D18">
    <cfRule type="cellIs" priority="1" operator="greaterThanOrEqual" dxfId="0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小資效率實驗室 — 蝦皮分潤營運追蹤表</t>
        </is>
      </c>
    </row>
    <row r="2">
      <c r="A2" s="13" t="inlineStr"/>
    </row>
    <row r="3">
      <c r="A3" s="13" t="inlineStr">
        <is>
          <t>顏色規則：黃底 = 你要填的；米底 = 公式自動算，不要動。</t>
        </is>
      </c>
    </row>
    <row r="4">
      <c r="A4" s="13" t="inlineStr"/>
    </row>
    <row r="5">
      <c r="A5" s="13" t="inlineStr">
        <is>
          <t>每天 5 分鐘：</t>
        </is>
      </c>
    </row>
    <row r="6">
      <c r="A6" s="13" t="inlineStr">
        <is>
          <t>1. 發完文 → 到「貼文日誌」登記日期、平台、商品、sub_id。</t>
        </is>
      </c>
    </row>
    <row r="7">
      <c r="A7" s="13" t="inlineStr">
        <is>
          <t>2. 打開 affiliate.shopee.tw 後台 → 把當天的點擊、訂單、分潤填進「每日數據」。</t>
        </is>
      </c>
    </row>
    <row r="8">
      <c r="A8" s="13" t="inlineStr">
        <is>
          <t>3. 看「KPI 儀表板」，本月目標達成率一眼就知道。</t>
        </is>
      </c>
    </row>
    <row r="9">
      <c r="A9" s="13" t="inlineStr"/>
    </row>
    <row r="10">
      <c r="A10" s="13" t="inlineStr">
        <is>
          <t>每月 1 號：</t>
        </is>
      </c>
    </row>
    <row r="11">
      <c r="A11" s="13" t="inlineStr">
        <is>
          <t>1. 後台會產生上月「對帳明細」→ 把金額填進「月結對帳」的「後台對帳金額」。</t>
        </is>
      </c>
    </row>
    <row r="12">
      <c r="A12" s="13" t="inlineStr">
        <is>
          <t>2. 累積達 NT$500 就申請提領；收到勞報單後 5 個工作日內回傳。</t>
        </is>
      </c>
    </row>
    <row r="13">
      <c r="A13" s="13" t="inlineStr">
        <is>
          <t>3. 如果「營業稅警示」變紅（單月 ≥ NT$50,000），要開始準備公司戶，詳見 05-請款稅務與合規.md。</t>
        </is>
      </c>
    </row>
    <row r="14">
      <c r="A14" s="13" t="inlineStr"/>
    </row>
    <row r="15">
      <c r="A15" s="13" t="inlineStr">
        <is>
          <t>匯入 Google Sheets：檔案 → 匯入 → 上傳這個 xlsx，公式會保留。</t>
        </is>
      </c>
    </row>
    <row r="16">
      <c r="A16" s="13" t="inlineStr"/>
    </row>
    <row r="17">
      <c r="A17" s="13" t="inlineStr">
        <is>
          <t>重跑 python scripts/shopee_tracker.py 會覆蓋這個檔案，所以開始填數據後請另存一份，或改用 Google Sheets 版本。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8" customWidth="1" min="4" max="4"/>
    <col width="8" customWidth="1" min="5" max="5"/>
    <col width="10" customWidth="1" min="6" max="6"/>
    <col width="12" customWidth="1" min="7" max="7"/>
    <col width="36" customWidth="1" min="8" max="8"/>
    <col width="24" customWidth="1" min="9" max="9"/>
    <col width="14" customWidth="1" min="10" max="10"/>
    <col width="30" customWidth="1" min="11" max="11"/>
    <col width="30" customWidth="1" min="12" max="12"/>
    <col width="8" customWidth="1" min="13" max="13"/>
    <col width="30" customWidth="1" min="14" max="14"/>
  </cols>
  <sheetData>
    <row r="1" ht="28" customHeight="1">
      <c r="A1" s="3" t="inlineStr">
        <is>
          <t>ID</t>
        </is>
      </c>
      <c r="B1" s="3" t="inlineStr">
        <is>
          <t>利基</t>
        </is>
      </c>
      <c r="C1" s="3" t="inlineStr">
        <is>
          <t>分類</t>
        </is>
      </c>
      <c r="D1" s="3" t="inlineStr">
        <is>
          <t>商品名稱</t>
        </is>
      </c>
      <c r="E1" s="3" t="inlineStr">
        <is>
          <t>售價</t>
        </is>
      </c>
      <c r="F1" s="3" t="inlineStr">
        <is>
          <t>預估分潤%</t>
        </is>
      </c>
      <c r="G1" s="3" t="inlineStr">
        <is>
          <t>預估每單分潤</t>
        </is>
      </c>
      <c r="H1" s="3" t="inlineStr">
        <is>
          <t>賣點</t>
        </is>
      </c>
      <c r="I1" s="3" t="inlineStr">
        <is>
          <t>痛點</t>
        </is>
      </c>
      <c r="J1" s="3" t="inlineStr">
        <is>
          <t>受眾</t>
        </is>
      </c>
      <c r="K1" s="3" t="inlineStr">
        <is>
          <t>蝦皮網址</t>
        </is>
      </c>
      <c r="L1" s="3" t="inlineStr">
        <is>
          <t>分潤短連結</t>
        </is>
      </c>
      <c r="M1" s="3" t="inlineStr">
        <is>
          <t>狀態</t>
        </is>
      </c>
      <c r="N1" s="3" t="inlineStr">
        <is>
          <t>備註</t>
        </is>
      </c>
    </row>
    <row r="2">
      <c r="A2" s="14" t="inlineStr">
        <is>
          <t>P001</t>
        </is>
      </c>
      <c r="B2" s="14" t="inlineStr">
        <is>
          <t>home</t>
        </is>
      </c>
      <c r="C2" s="14" t="inlineStr">
        <is>
          <t>居家收納</t>
        </is>
      </c>
      <c r="D2" s="14" t="inlineStr">
        <is>
          <t>免釘壁掛收納架（3入）</t>
        </is>
      </c>
      <c r="E2" s="8" t="n">
        <v>299</v>
      </c>
      <c r="F2" s="15" t="n">
        <v>0.03</v>
      </c>
      <c r="G2" s="5">
        <f>MIN(E2*F2,500)</f>
        <v/>
      </c>
      <c r="H2" s="14" t="inlineStr">
        <is>
          <t>免打孔不傷牆、承重 5kg、浴室廚房都能用</t>
        </is>
      </c>
      <c r="I2" s="14" t="inlineStr">
        <is>
          <t>租屋不能釘牆、東西沒地方放</t>
        </is>
      </c>
      <c r="J2" s="14" t="inlineStr">
        <is>
          <t>租屋族</t>
        </is>
      </c>
      <c r="K2" s="14" t="inlineStr">
        <is>
          <t>https://shopee.tw/product/SHOPID/ITEMID</t>
        </is>
      </c>
      <c r="L2" s="14" t="inlineStr"/>
      <c r="M2" s="14" t="inlineStr">
        <is>
          <t>idea</t>
        </is>
      </c>
      <c r="N2" s="14" t="inlineStr">
        <is>
          <t>範例資料：請換成真實商品網址</t>
        </is>
      </c>
    </row>
    <row r="3">
      <c r="A3" s="14" t="inlineStr">
        <is>
          <t>P002</t>
        </is>
      </c>
      <c r="B3" s="14" t="inlineStr">
        <is>
          <t>home</t>
        </is>
      </c>
      <c r="C3" s="14" t="inlineStr">
        <is>
          <t>居家收納</t>
        </is>
      </c>
      <c r="D3" s="14" t="inlineStr">
        <is>
          <t>衣櫃分層伸縮隔板</t>
        </is>
      </c>
      <c r="E3" s="8" t="n">
        <v>189</v>
      </c>
      <c r="F3" s="15" t="n">
        <v>0.03</v>
      </c>
      <c r="G3" s="5">
        <f>MIN(E3*F3,500)</f>
        <v/>
      </c>
      <c r="H3" s="14" t="inlineStr">
        <is>
          <t>免工具安裝、寬度可調 38-60cm、衣櫃空間翻倍</t>
        </is>
      </c>
      <c r="I3" s="14" t="inlineStr">
        <is>
          <t>衣櫃上層塞成一團拿不到</t>
        </is>
      </c>
      <c r="J3" s="14" t="inlineStr">
        <is>
          <t>租屋族/小家庭</t>
        </is>
      </c>
      <c r="K3" s="14" t="inlineStr">
        <is>
          <t>https://shopee.tw/product/SHOPID/ITEMID</t>
        </is>
      </c>
      <c r="L3" s="14" t="inlineStr"/>
      <c r="M3" s="14" t="inlineStr">
        <is>
          <t>idea</t>
        </is>
      </c>
      <c r="N3" s="14" t="inlineStr">
        <is>
          <t>範例資料：請換成真實商品網址</t>
        </is>
      </c>
    </row>
    <row r="4">
      <c r="A4" s="14" t="inlineStr">
        <is>
          <t>P003</t>
        </is>
      </c>
      <c r="B4" s="14" t="inlineStr">
        <is>
          <t>home</t>
        </is>
      </c>
      <c r="C4" s="14" t="inlineStr">
        <is>
          <t>居家收納</t>
        </is>
      </c>
      <c r="D4" s="14" t="inlineStr">
        <is>
          <t>真空壓縮收納袋（8入）</t>
        </is>
      </c>
      <c r="E4" s="8" t="n">
        <v>359</v>
      </c>
      <c r="F4" s="15" t="n">
        <v>0.03</v>
      </c>
      <c r="G4" s="5">
        <f>MIN(E4*F4,500)</f>
        <v/>
      </c>
      <c r="H4" s="14" t="inlineStr">
        <is>
          <t>換季衣物體積減 70%、附手泵、可重複使用</t>
        </is>
      </c>
      <c r="I4" s="14" t="inlineStr">
        <is>
          <t>換季棉被衣服爆滿</t>
        </is>
      </c>
      <c r="J4" s="14" t="inlineStr">
        <is>
          <t>租屋族</t>
        </is>
      </c>
      <c r="K4" s="14" t="inlineStr">
        <is>
          <t>https://shopee.tw/product/SHOPID/ITEMID</t>
        </is>
      </c>
      <c r="L4" s="14" t="inlineStr"/>
      <c r="M4" s="14" t="inlineStr">
        <is>
          <t>idea</t>
        </is>
      </c>
      <c r="N4" s="14" t="inlineStr">
        <is>
          <t>範例資料：請換成真實商品網址</t>
        </is>
      </c>
    </row>
    <row r="5">
      <c r="A5" s="14" t="inlineStr">
        <is>
          <t>P004</t>
        </is>
      </c>
      <c r="B5" s="14" t="inlineStr">
        <is>
          <t>home</t>
        </is>
      </c>
      <c r="C5" s="14" t="inlineStr">
        <is>
          <t>居家收納</t>
        </is>
      </c>
      <c r="D5" s="14" t="inlineStr">
        <is>
          <t>床邊掛袋收納</t>
        </is>
      </c>
      <c r="E5" s="8" t="n">
        <v>159</v>
      </c>
      <c r="F5" s="15" t="n">
        <v>0.03</v>
      </c>
      <c r="G5" s="5">
        <f>MIN(E5*F5,500)</f>
        <v/>
      </c>
      <c r="H5" s="14" t="inlineStr">
        <is>
          <t>手機遙控器一袋收、免安裝、多色</t>
        </is>
      </c>
      <c r="I5" s="14" t="inlineStr">
        <is>
          <t>床頭沒地方放東西</t>
        </is>
      </c>
      <c r="J5" s="14" t="inlineStr">
        <is>
          <t>學生/租屋族</t>
        </is>
      </c>
      <c r="K5" s="14" t="inlineStr">
        <is>
          <t>https://shopee.tw/product/SHOPID/ITEMID</t>
        </is>
      </c>
      <c r="L5" s="14" t="inlineStr"/>
      <c r="M5" s="14" t="inlineStr">
        <is>
          <t>idea</t>
        </is>
      </c>
      <c r="N5" s="14" t="inlineStr">
        <is>
          <t>範例資料：請換成真實商品網址</t>
        </is>
      </c>
    </row>
    <row r="6">
      <c r="A6" s="14" t="inlineStr">
        <is>
          <t>P005</t>
        </is>
      </c>
      <c r="B6" s="14" t="inlineStr">
        <is>
          <t>desk</t>
        </is>
      </c>
      <c r="C6" s="14" t="inlineStr">
        <is>
          <t>3C 配件</t>
        </is>
      </c>
      <c r="D6" s="14" t="inlineStr">
        <is>
          <t>實木螢幕增高架</t>
        </is>
      </c>
      <c r="E6" s="8" t="n">
        <v>699</v>
      </c>
      <c r="F6" s="15" t="n">
        <v>0.05</v>
      </c>
      <c r="G6" s="5">
        <f>MIN(E6*F6,500)</f>
        <v/>
      </c>
      <c r="H6" s="14" t="inlineStr">
        <is>
          <t>墊高 8cm 改善頸椎角度、下方可收鍵盤、質感好拍</t>
        </is>
      </c>
      <c r="I6" s="14" t="inlineStr">
        <is>
          <t>低頭看螢幕肩頸痠</t>
        </is>
      </c>
      <c r="J6" s="14" t="inlineStr">
        <is>
          <t>上班族/遠端工作者</t>
        </is>
      </c>
      <c r="K6" s="14" t="inlineStr">
        <is>
          <t>https://shopee.tw/product/SHOPID/ITEMID</t>
        </is>
      </c>
      <c r="L6" s="14" t="inlineStr"/>
      <c r="M6" s="14" t="inlineStr">
        <is>
          <t>idea</t>
        </is>
      </c>
      <c r="N6" s="14" t="inlineStr">
        <is>
          <t>範例資料：請換成真實商品網址</t>
        </is>
      </c>
    </row>
    <row r="7">
      <c r="A7" s="14" t="inlineStr">
        <is>
          <t>P006</t>
        </is>
      </c>
      <c r="B7" s="14" t="inlineStr">
        <is>
          <t>desk</t>
        </is>
      </c>
      <c r="C7" s="14" t="inlineStr">
        <is>
          <t>3C 配件</t>
        </is>
      </c>
      <c r="D7" s="14" t="inlineStr">
        <is>
          <t>桌下理線盒（含束帶）</t>
        </is>
      </c>
      <c r="E7" s="8" t="n">
        <v>329</v>
      </c>
      <c r="F7" s="15" t="n">
        <v>0.05</v>
      </c>
      <c r="G7" s="5">
        <f>MIN(E7*F7,500)</f>
        <v/>
      </c>
      <c r="H7" s="14" t="inlineStr">
        <is>
          <t>電線延長線全藏、磁吸開蓋、桌面瞬間清爽</t>
        </is>
      </c>
      <c r="I7" s="14" t="inlineStr">
        <is>
          <t>桌下電線像義大利麵</t>
        </is>
      </c>
      <c r="J7" s="14" t="inlineStr">
        <is>
          <t>上班族</t>
        </is>
      </c>
      <c r="K7" s="14" t="inlineStr">
        <is>
          <t>https://shopee.tw/product/SHOPID/ITEMID</t>
        </is>
      </c>
      <c r="L7" s="14" t="inlineStr"/>
      <c r="M7" s="14" t="inlineStr">
        <is>
          <t>idea</t>
        </is>
      </c>
      <c r="N7" s="14" t="inlineStr">
        <is>
          <t>範例資料：請換成真實商品網址</t>
        </is>
      </c>
    </row>
    <row r="8">
      <c r="A8" s="14" t="inlineStr">
        <is>
          <t>P007</t>
        </is>
      </c>
      <c r="B8" s="14" t="inlineStr">
        <is>
          <t>desk</t>
        </is>
      </c>
      <c r="C8" s="14" t="inlineStr">
        <is>
          <t>3C 配件</t>
        </is>
      </c>
      <c r="D8" s="14" t="inlineStr">
        <is>
          <t>USB-C 7合1 擴充埠</t>
        </is>
      </c>
      <c r="E8" s="8" t="n">
        <v>899</v>
      </c>
      <c r="F8" s="15" t="n">
        <v>0.05</v>
      </c>
      <c r="G8" s="5">
        <f>MIN(E8*F8,500)</f>
        <v/>
      </c>
      <c r="H8" s="14" t="inlineStr">
        <is>
          <t>HDMI 4K、PD 100W 充電、SD 讀卡</t>
        </is>
      </c>
      <c r="I8" s="14" t="inlineStr">
        <is>
          <t>筆電只有兩個孔</t>
        </is>
      </c>
      <c r="J8" s="14" t="inlineStr">
        <is>
          <t>上班族/學生</t>
        </is>
      </c>
      <c r="K8" s="14" t="inlineStr">
        <is>
          <t>https://shopee.tw/product/SHOPID/ITEMID</t>
        </is>
      </c>
      <c r="L8" s="14" t="inlineStr"/>
      <c r="M8" s="14" t="inlineStr">
        <is>
          <t>idea</t>
        </is>
      </c>
      <c r="N8" s="14" t="inlineStr">
        <is>
          <t>範例資料：請換成真實商品網址</t>
        </is>
      </c>
    </row>
    <row r="9">
      <c r="A9" s="14" t="inlineStr">
        <is>
          <t>P008</t>
        </is>
      </c>
      <c r="B9" s="14" t="inlineStr">
        <is>
          <t>desk</t>
        </is>
      </c>
      <c r="C9" s="14" t="inlineStr">
        <is>
          <t>3C 配件</t>
        </is>
      </c>
      <c r="D9" s="14" t="inlineStr">
        <is>
          <t>人體工學垂直滑鼠</t>
        </is>
      </c>
      <c r="E9" s="8" t="n">
        <v>590</v>
      </c>
      <c r="F9" s="15" t="n">
        <v>0.05</v>
      </c>
      <c r="G9" s="5">
        <f>MIN(E9*F9,500)</f>
        <v/>
      </c>
      <c r="H9" s="14" t="inlineStr">
        <is>
          <t>握姿像握手、手腕不再痠、無線靜音</t>
        </is>
      </c>
      <c r="I9" s="14" t="inlineStr">
        <is>
          <t>用滑鼠用到手腕痛</t>
        </is>
      </c>
      <c r="J9" s="14" t="inlineStr">
        <is>
          <t>上班族</t>
        </is>
      </c>
      <c r="K9" s="14" t="inlineStr">
        <is>
          <t>https://shopee.tw/product/SHOPID/ITEMID</t>
        </is>
      </c>
      <c r="L9" s="14" t="inlineStr"/>
      <c r="M9" s="14" t="inlineStr">
        <is>
          <t>idea</t>
        </is>
      </c>
      <c r="N9" s="14" t="inlineStr">
        <is>
          <t>範例資料：請換成真實商品網址</t>
        </is>
      </c>
    </row>
    <row r="10">
      <c r="A10" s="14" t="inlineStr">
        <is>
          <t>P009</t>
        </is>
      </c>
      <c r="B10" s="14" t="inlineStr">
        <is>
          <t>kitchen</t>
        </is>
      </c>
      <c r="C10" s="14" t="inlineStr">
        <is>
          <t>生活家電</t>
        </is>
      </c>
      <c r="D10" s="14" t="inlineStr">
        <is>
          <t>迷你氣炸鍋 3.5L</t>
        </is>
      </c>
      <c r="E10" s="8" t="n">
        <v>1290</v>
      </c>
      <c r="F10" s="15" t="n">
        <v>0.07000000000000001</v>
      </c>
      <c r="G10" s="5">
        <f>MIN(E10*F10,500)</f>
        <v/>
      </c>
      <c r="H10" s="14" t="inlineStr">
        <is>
          <t>一人份剛好、免油少煙、可拆洗</t>
        </is>
      </c>
      <c r="I10" s="14" t="inlineStr">
        <is>
          <t>下班太累不想開火</t>
        </is>
      </c>
      <c r="J10" s="14" t="inlineStr">
        <is>
          <t>租屋族/小家庭</t>
        </is>
      </c>
      <c r="K10" s="14" t="inlineStr">
        <is>
          <t>https://shopee.tw/product/SHOPID/ITEMID</t>
        </is>
      </c>
      <c r="L10" s="14" t="inlineStr"/>
      <c r="M10" s="14" t="inlineStr">
        <is>
          <t>idea</t>
        </is>
      </c>
      <c r="N10" s="14" t="inlineStr">
        <is>
          <t>範例資料：請換成真實商品網址</t>
        </is>
      </c>
    </row>
    <row r="11">
      <c r="A11" s="14" t="inlineStr">
        <is>
          <t>P010</t>
        </is>
      </c>
      <c r="B11" s="14" t="inlineStr">
        <is>
          <t>kitchen</t>
        </is>
      </c>
      <c r="C11" s="14" t="inlineStr">
        <is>
          <t>生活家電</t>
        </is>
      </c>
      <c r="D11" s="14" t="inlineStr">
        <is>
          <t>多功能電煮鍋 1.5L</t>
        </is>
      </c>
      <c r="E11" s="8" t="n">
        <v>699</v>
      </c>
      <c r="F11" s="15" t="n">
        <v>0.07000000000000001</v>
      </c>
      <c r="G11" s="5">
        <f>MIN(E11*F11,500)</f>
        <v/>
      </c>
      <c r="H11" s="14" t="inlineStr">
        <is>
          <t>煮麵火鍋蒸蛋一鍋搞定、宿舍可用、不沾內鍋</t>
        </is>
      </c>
      <c r="I11" s="14" t="inlineStr">
        <is>
          <t>宿舍不能開火</t>
        </is>
      </c>
      <c r="J11" s="14" t="inlineStr">
        <is>
          <t>學生/租屋族</t>
        </is>
      </c>
      <c r="K11" s="14" t="inlineStr">
        <is>
          <t>https://shopee.tw/product/SHOPID/ITEMID</t>
        </is>
      </c>
      <c r="L11" s="14" t="inlineStr"/>
      <c r="M11" s="14" t="inlineStr">
        <is>
          <t>idea</t>
        </is>
      </c>
      <c r="N11" s="14" t="inlineStr">
        <is>
          <t>範例資料：請換成真實商品網址</t>
        </is>
      </c>
    </row>
    <row r="12">
      <c r="A12" s="14" t="inlineStr">
        <is>
          <t>P011</t>
        </is>
      </c>
      <c r="B12" s="14" t="inlineStr">
        <is>
          <t>money</t>
        </is>
      </c>
      <c r="C12" s="14" t="inlineStr">
        <is>
          <t>文具</t>
        </is>
      </c>
      <c r="D12" s="14" t="inlineStr">
        <is>
          <t>信封預算分帳夾（12格）</t>
        </is>
      </c>
      <c r="E12" s="8" t="n">
        <v>249</v>
      </c>
      <c r="F12" s="15" t="n">
        <v>0.02</v>
      </c>
      <c r="G12" s="5">
        <f>MIN(E12*F12,500)</f>
        <v/>
      </c>
      <c r="H12" s="14" t="inlineStr">
        <is>
          <t>薪水一到手先分 12 格、透明看得見、搭配記帳表</t>
        </is>
      </c>
      <c r="I12" s="14" t="inlineStr">
        <is>
          <t>月底總是沒錢</t>
        </is>
      </c>
      <c r="J12" s="14" t="inlineStr">
        <is>
          <t>小資族/理財新手</t>
        </is>
      </c>
      <c r="K12" s="14" t="inlineStr">
        <is>
          <t>https://shopee.tw/product/SHOPID/ITEMID</t>
        </is>
      </c>
      <c r="L12" s="14" t="inlineStr"/>
      <c r="M12" s="14" t="inlineStr">
        <is>
          <t>idea</t>
        </is>
      </c>
      <c r="N12" s="14" t="inlineStr">
        <is>
          <t>範例資料：可與 SheetCraft 預算模板一起推</t>
        </is>
      </c>
    </row>
    <row r="13">
      <c r="A13" s="14" t="inlineStr">
        <is>
          <t>P012</t>
        </is>
      </c>
      <c r="B13" s="14" t="inlineStr">
        <is>
          <t>money</t>
        </is>
      </c>
      <c r="C13" s="14" t="inlineStr">
        <is>
          <t>文具</t>
        </is>
      </c>
      <c r="D13" s="14" t="inlineStr">
        <is>
          <t>無時效手帳記帳本</t>
        </is>
      </c>
      <c r="E13" s="8" t="n">
        <v>329</v>
      </c>
      <c r="F13" s="15" t="n">
        <v>0.02</v>
      </c>
      <c r="G13" s="5">
        <f>MIN(E13*F13,500)</f>
        <v/>
      </c>
      <c r="H13" s="14" t="inlineStr">
        <is>
          <t>任何月份開始都行、每日支出欄、年度總覽頁</t>
        </is>
      </c>
      <c r="I13" s="14" t="inlineStr">
        <is>
          <t>記帳 App 懶得開</t>
        </is>
      </c>
      <c r="J13" s="14" t="inlineStr">
        <is>
          <t>小資族</t>
        </is>
      </c>
      <c r="K13" s="14" t="inlineStr">
        <is>
          <t>https://shopee.tw/product/SHOPID/ITEMID</t>
        </is>
      </c>
      <c r="L13" s="14" t="inlineStr"/>
      <c r="M13" s="14" t="inlineStr">
        <is>
          <t>idea</t>
        </is>
      </c>
      <c r="N13" s="14" t="inlineStr">
        <is>
          <t>範例資料：可與 SheetCraft 預算模板一起推</t>
        </is>
      </c>
    </row>
  </sheetData>
  <dataValidations count="1">
    <dataValidation sqref="M2:M400" showDropDown="0" showInputMessage="0" showErrorMessage="0" allowBlank="1" type="list">
      <formula1>"idea,ready,live,paused"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9" customWidth="1" min="4" max="4"/>
    <col width="26" customWidth="1" min="5" max="5"/>
    <col width="24" customWidth="1" min="6" max="6"/>
    <col width="30" customWidth="1" min="7" max="7"/>
    <col width="9" customWidth="1" min="8" max="8"/>
    <col width="9" customWidth="1" min="9" max="9"/>
    <col width="24" customWidth="1" min="10" max="10"/>
  </cols>
  <sheetData>
    <row r="1" ht="28" customHeight="1">
      <c r="A1" s="3" t="inlineStr">
        <is>
          <t>日期</t>
        </is>
      </c>
      <c r="B1" s="3" t="inlineStr">
        <is>
          <t>平台</t>
        </is>
      </c>
      <c r="C1" s="3" t="inlineStr">
        <is>
          <t>貼文類型</t>
        </is>
      </c>
      <c r="D1" s="3" t="inlineStr">
        <is>
          <t>商品 ID</t>
        </is>
      </c>
      <c r="E1" s="3" t="inlineStr">
        <is>
          <t>商品名稱</t>
        </is>
      </c>
      <c r="F1" s="3" t="inlineStr">
        <is>
          <t>sub_id</t>
        </is>
      </c>
      <c r="G1" s="3" t="inlineStr">
        <is>
          <t>貼文網址</t>
        </is>
      </c>
      <c r="H1" s="3" t="inlineStr">
        <is>
          <t>觸及</t>
        </is>
      </c>
      <c r="I1" s="3" t="inlineStr">
        <is>
          <t>互動數</t>
        </is>
      </c>
      <c r="J1" s="3" t="inlineStr">
        <is>
          <t>備註</t>
        </is>
      </c>
    </row>
    <row r="2">
      <c r="A2" s="16" t="n"/>
      <c r="B2" s="14" t="n"/>
      <c r="C2" s="14" t="n"/>
      <c r="D2" s="14" t="n"/>
      <c r="E2" s="10">
        <f>IF(D2="","",IFERROR(VLOOKUP(D2,選品庫!A:D,4,FALSE),"找不到"))</f>
        <v/>
      </c>
      <c r="F2" s="14" t="n"/>
      <c r="G2" s="14" t="n"/>
      <c r="H2" s="8" t="n"/>
      <c r="I2" s="8" t="n"/>
      <c r="J2" s="14" t="n"/>
    </row>
    <row r="3">
      <c r="A3" s="16" t="n"/>
      <c r="B3" s="14" t="n"/>
      <c r="C3" s="14" t="n"/>
      <c r="D3" s="14" t="n"/>
      <c r="E3" s="10">
        <f>IF(D3="","",IFERROR(VLOOKUP(D3,選品庫!A:D,4,FALSE),"找不到"))</f>
        <v/>
      </c>
      <c r="F3" s="14" t="n"/>
      <c r="G3" s="14" t="n"/>
      <c r="H3" s="8" t="n"/>
      <c r="I3" s="8" t="n"/>
      <c r="J3" s="14" t="n"/>
    </row>
    <row r="4">
      <c r="A4" s="16" t="n"/>
      <c r="B4" s="14" t="n"/>
      <c r="C4" s="14" t="n"/>
      <c r="D4" s="14" t="n"/>
      <c r="E4" s="10">
        <f>IF(D4="","",IFERROR(VLOOKUP(D4,選品庫!A:D,4,FALSE),"找不到"))</f>
        <v/>
      </c>
      <c r="F4" s="14" t="n"/>
      <c r="G4" s="14" t="n"/>
      <c r="H4" s="8" t="n"/>
      <c r="I4" s="8" t="n"/>
      <c r="J4" s="14" t="n"/>
    </row>
    <row r="5">
      <c r="A5" s="16" t="n"/>
      <c r="B5" s="14" t="n"/>
      <c r="C5" s="14" t="n"/>
      <c r="D5" s="14" t="n"/>
      <c r="E5" s="10">
        <f>IF(D5="","",IFERROR(VLOOKUP(D5,選品庫!A:D,4,FALSE),"找不到"))</f>
        <v/>
      </c>
      <c r="F5" s="14" t="n"/>
      <c r="G5" s="14" t="n"/>
      <c r="H5" s="8" t="n"/>
      <c r="I5" s="8" t="n"/>
      <c r="J5" s="14" t="n"/>
    </row>
    <row r="6">
      <c r="A6" s="16" t="n"/>
      <c r="B6" s="14" t="n"/>
      <c r="C6" s="14" t="n"/>
      <c r="D6" s="14" t="n"/>
      <c r="E6" s="10">
        <f>IF(D6="","",IFERROR(VLOOKUP(D6,選品庫!A:D,4,FALSE),"找不到"))</f>
        <v/>
      </c>
      <c r="F6" s="14" t="n"/>
      <c r="G6" s="14" t="n"/>
      <c r="H6" s="8" t="n"/>
      <c r="I6" s="8" t="n"/>
      <c r="J6" s="14" t="n"/>
    </row>
    <row r="7">
      <c r="A7" s="16" t="n"/>
      <c r="B7" s="14" t="n"/>
      <c r="C7" s="14" t="n"/>
      <c r="D7" s="14" t="n"/>
      <c r="E7" s="10">
        <f>IF(D7="","",IFERROR(VLOOKUP(D7,選品庫!A:D,4,FALSE),"找不到"))</f>
        <v/>
      </c>
      <c r="F7" s="14" t="n"/>
      <c r="G7" s="14" t="n"/>
      <c r="H7" s="8" t="n"/>
      <c r="I7" s="8" t="n"/>
      <c r="J7" s="14" t="n"/>
    </row>
    <row r="8">
      <c r="A8" s="16" t="n"/>
      <c r="B8" s="14" t="n"/>
      <c r="C8" s="14" t="n"/>
      <c r="D8" s="14" t="n"/>
      <c r="E8" s="10">
        <f>IF(D8="","",IFERROR(VLOOKUP(D8,選品庫!A:D,4,FALSE),"找不到"))</f>
        <v/>
      </c>
      <c r="F8" s="14" t="n"/>
      <c r="G8" s="14" t="n"/>
      <c r="H8" s="8" t="n"/>
      <c r="I8" s="8" t="n"/>
      <c r="J8" s="14" t="n"/>
    </row>
    <row r="9">
      <c r="A9" s="16" t="n"/>
      <c r="B9" s="14" t="n"/>
      <c r="C9" s="14" t="n"/>
      <c r="D9" s="14" t="n"/>
      <c r="E9" s="10">
        <f>IF(D9="","",IFERROR(VLOOKUP(D9,選品庫!A:D,4,FALSE),"找不到"))</f>
        <v/>
      </c>
      <c r="F9" s="14" t="n"/>
      <c r="G9" s="14" t="n"/>
      <c r="H9" s="8" t="n"/>
      <c r="I9" s="8" t="n"/>
      <c r="J9" s="14" t="n"/>
    </row>
    <row r="10">
      <c r="A10" s="16" t="n"/>
      <c r="B10" s="14" t="n"/>
      <c r="C10" s="14" t="n"/>
      <c r="D10" s="14" t="n"/>
      <c r="E10" s="10">
        <f>IF(D10="","",IFERROR(VLOOKUP(D10,選品庫!A:D,4,FALSE),"找不到"))</f>
        <v/>
      </c>
      <c r="F10" s="14" t="n"/>
      <c r="G10" s="14" t="n"/>
      <c r="H10" s="8" t="n"/>
      <c r="I10" s="8" t="n"/>
      <c r="J10" s="14" t="n"/>
    </row>
    <row r="11">
      <c r="A11" s="16" t="n"/>
      <c r="B11" s="14" t="n"/>
      <c r="C11" s="14" t="n"/>
      <c r="D11" s="14" t="n"/>
      <c r="E11" s="10">
        <f>IF(D11="","",IFERROR(VLOOKUP(D11,選品庫!A:D,4,FALSE),"找不到"))</f>
        <v/>
      </c>
      <c r="F11" s="14" t="n"/>
      <c r="G11" s="14" t="n"/>
      <c r="H11" s="8" t="n"/>
      <c r="I11" s="8" t="n"/>
      <c r="J11" s="14" t="n"/>
    </row>
    <row r="12">
      <c r="A12" s="16" t="n"/>
      <c r="B12" s="14" t="n"/>
      <c r="C12" s="14" t="n"/>
      <c r="D12" s="14" t="n"/>
      <c r="E12" s="10">
        <f>IF(D12="","",IFERROR(VLOOKUP(D12,選品庫!A:D,4,FALSE),"找不到"))</f>
        <v/>
      </c>
      <c r="F12" s="14" t="n"/>
      <c r="G12" s="14" t="n"/>
      <c r="H12" s="8" t="n"/>
      <c r="I12" s="8" t="n"/>
      <c r="J12" s="14" t="n"/>
    </row>
    <row r="13">
      <c r="A13" s="16" t="n"/>
      <c r="B13" s="14" t="n"/>
      <c r="C13" s="14" t="n"/>
      <c r="D13" s="14" t="n"/>
      <c r="E13" s="10">
        <f>IF(D13="","",IFERROR(VLOOKUP(D13,選品庫!A:D,4,FALSE),"找不到"))</f>
        <v/>
      </c>
      <c r="F13" s="14" t="n"/>
      <c r="G13" s="14" t="n"/>
      <c r="H13" s="8" t="n"/>
      <c r="I13" s="8" t="n"/>
      <c r="J13" s="14" t="n"/>
    </row>
    <row r="14">
      <c r="A14" s="16" t="n"/>
      <c r="B14" s="14" t="n"/>
      <c r="C14" s="14" t="n"/>
      <c r="D14" s="14" t="n"/>
      <c r="E14" s="10">
        <f>IF(D14="","",IFERROR(VLOOKUP(D14,選品庫!A:D,4,FALSE),"找不到"))</f>
        <v/>
      </c>
      <c r="F14" s="14" t="n"/>
      <c r="G14" s="14" t="n"/>
      <c r="H14" s="8" t="n"/>
      <c r="I14" s="8" t="n"/>
      <c r="J14" s="14" t="n"/>
    </row>
    <row r="15">
      <c r="A15" s="16" t="n"/>
      <c r="B15" s="14" t="n"/>
      <c r="C15" s="14" t="n"/>
      <c r="D15" s="14" t="n"/>
      <c r="E15" s="10">
        <f>IF(D15="","",IFERROR(VLOOKUP(D15,選品庫!A:D,4,FALSE),"找不到"))</f>
        <v/>
      </c>
      <c r="F15" s="14" t="n"/>
      <c r="G15" s="14" t="n"/>
      <c r="H15" s="8" t="n"/>
      <c r="I15" s="8" t="n"/>
      <c r="J15" s="14" t="n"/>
    </row>
    <row r="16">
      <c r="A16" s="16" t="n"/>
      <c r="B16" s="14" t="n"/>
      <c r="C16" s="14" t="n"/>
      <c r="D16" s="14" t="n"/>
      <c r="E16" s="10">
        <f>IF(D16="","",IFERROR(VLOOKUP(D16,選品庫!A:D,4,FALSE),"找不到"))</f>
        <v/>
      </c>
      <c r="F16" s="14" t="n"/>
      <c r="G16" s="14" t="n"/>
      <c r="H16" s="8" t="n"/>
      <c r="I16" s="8" t="n"/>
      <c r="J16" s="14" t="n"/>
    </row>
    <row r="17">
      <c r="A17" s="16" t="n"/>
      <c r="B17" s="14" t="n"/>
      <c r="C17" s="14" t="n"/>
      <c r="D17" s="14" t="n"/>
      <c r="E17" s="10">
        <f>IF(D17="","",IFERROR(VLOOKUP(D17,選品庫!A:D,4,FALSE),"找不到"))</f>
        <v/>
      </c>
      <c r="F17" s="14" t="n"/>
      <c r="G17" s="14" t="n"/>
      <c r="H17" s="8" t="n"/>
      <c r="I17" s="8" t="n"/>
      <c r="J17" s="14" t="n"/>
    </row>
    <row r="18">
      <c r="A18" s="16" t="n"/>
      <c r="B18" s="14" t="n"/>
      <c r="C18" s="14" t="n"/>
      <c r="D18" s="14" t="n"/>
      <c r="E18" s="10">
        <f>IF(D18="","",IFERROR(VLOOKUP(D18,選品庫!A:D,4,FALSE),"找不到"))</f>
        <v/>
      </c>
      <c r="F18" s="14" t="n"/>
      <c r="G18" s="14" t="n"/>
      <c r="H18" s="8" t="n"/>
      <c r="I18" s="8" t="n"/>
      <c r="J18" s="14" t="n"/>
    </row>
    <row r="19">
      <c r="A19" s="16" t="n"/>
      <c r="B19" s="14" t="n"/>
      <c r="C19" s="14" t="n"/>
      <c r="D19" s="14" t="n"/>
      <c r="E19" s="10">
        <f>IF(D19="","",IFERROR(VLOOKUP(D19,選品庫!A:D,4,FALSE),"找不到"))</f>
        <v/>
      </c>
      <c r="F19" s="14" t="n"/>
      <c r="G19" s="14" t="n"/>
      <c r="H19" s="8" t="n"/>
      <c r="I19" s="8" t="n"/>
      <c r="J19" s="14" t="n"/>
    </row>
    <row r="20">
      <c r="A20" s="16" t="n"/>
      <c r="B20" s="14" t="n"/>
      <c r="C20" s="14" t="n"/>
      <c r="D20" s="14" t="n"/>
      <c r="E20" s="10">
        <f>IF(D20="","",IFERROR(VLOOKUP(D20,選品庫!A:D,4,FALSE),"找不到"))</f>
        <v/>
      </c>
      <c r="F20" s="14" t="n"/>
      <c r="G20" s="14" t="n"/>
      <c r="H20" s="8" t="n"/>
      <c r="I20" s="8" t="n"/>
      <c r="J20" s="14" t="n"/>
    </row>
    <row r="21">
      <c r="A21" s="16" t="n"/>
      <c r="B21" s="14" t="n"/>
      <c r="C21" s="14" t="n"/>
      <c r="D21" s="14" t="n"/>
      <c r="E21" s="10">
        <f>IF(D21="","",IFERROR(VLOOKUP(D21,選品庫!A:D,4,FALSE),"找不到"))</f>
        <v/>
      </c>
      <c r="F21" s="14" t="n"/>
      <c r="G21" s="14" t="n"/>
      <c r="H21" s="8" t="n"/>
      <c r="I21" s="8" t="n"/>
      <c r="J21" s="14" t="n"/>
    </row>
    <row r="22">
      <c r="A22" s="16" t="n"/>
      <c r="B22" s="14" t="n"/>
      <c r="C22" s="14" t="n"/>
      <c r="D22" s="14" t="n"/>
      <c r="E22" s="10">
        <f>IF(D22="","",IFERROR(VLOOKUP(D22,選品庫!A:D,4,FALSE),"找不到"))</f>
        <v/>
      </c>
      <c r="F22" s="14" t="n"/>
      <c r="G22" s="14" t="n"/>
      <c r="H22" s="8" t="n"/>
      <c r="I22" s="8" t="n"/>
      <c r="J22" s="14" t="n"/>
    </row>
    <row r="23">
      <c r="A23" s="16" t="n"/>
      <c r="B23" s="14" t="n"/>
      <c r="C23" s="14" t="n"/>
      <c r="D23" s="14" t="n"/>
      <c r="E23" s="10">
        <f>IF(D23="","",IFERROR(VLOOKUP(D23,選品庫!A:D,4,FALSE),"找不到"))</f>
        <v/>
      </c>
      <c r="F23" s="14" t="n"/>
      <c r="G23" s="14" t="n"/>
      <c r="H23" s="8" t="n"/>
      <c r="I23" s="8" t="n"/>
      <c r="J23" s="14" t="n"/>
    </row>
    <row r="24">
      <c r="A24" s="16" t="n"/>
      <c r="B24" s="14" t="n"/>
      <c r="C24" s="14" t="n"/>
      <c r="D24" s="14" t="n"/>
      <c r="E24" s="10">
        <f>IF(D24="","",IFERROR(VLOOKUP(D24,選品庫!A:D,4,FALSE),"找不到"))</f>
        <v/>
      </c>
      <c r="F24" s="14" t="n"/>
      <c r="G24" s="14" t="n"/>
      <c r="H24" s="8" t="n"/>
      <c r="I24" s="8" t="n"/>
      <c r="J24" s="14" t="n"/>
    </row>
    <row r="25">
      <c r="A25" s="16" t="n"/>
      <c r="B25" s="14" t="n"/>
      <c r="C25" s="14" t="n"/>
      <c r="D25" s="14" t="n"/>
      <c r="E25" s="10">
        <f>IF(D25="","",IFERROR(VLOOKUP(D25,選品庫!A:D,4,FALSE),"找不到"))</f>
        <v/>
      </c>
      <c r="F25" s="14" t="n"/>
      <c r="G25" s="14" t="n"/>
      <c r="H25" s="8" t="n"/>
      <c r="I25" s="8" t="n"/>
      <c r="J25" s="14" t="n"/>
    </row>
    <row r="26">
      <c r="A26" s="16" t="n"/>
      <c r="B26" s="14" t="n"/>
      <c r="C26" s="14" t="n"/>
      <c r="D26" s="14" t="n"/>
      <c r="E26" s="10">
        <f>IF(D26="","",IFERROR(VLOOKUP(D26,選品庫!A:D,4,FALSE),"找不到"))</f>
        <v/>
      </c>
      <c r="F26" s="14" t="n"/>
      <c r="G26" s="14" t="n"/>
      <c r="H26" s="8" t="n"/>
      <c r="I26" s="8" t="n"/>
      <c r="J26" s="14" t="n"/>
    </row>
    <row r="27">
      <c r="A27" s="16" t="n"/>
      <c r="B27" s="14" t="n"/>
      <c r="C27" s="14" t="n"/>
      <c r="D27" s="14" t="n"/>
      <c r="E27" s="10">
        <f>IF(D27="","",IFERROR(VLOOKUP(D27,選品庫!A:D,4,FALSE),"找不到"))</f>
        <v/>
      </c>
      <c r="F27" s="14" t="n"/>
      <c r="G27" s="14" t="n"/>
      <c r="H27" s="8" t="n"/>
      <c r="I27" s="8" t="n"/>
      <c r="J27" s="14" t="n"/>
    </row>
    <row r="28">
      <c r="A28" s="16" t="n"/>
      <c r="B28" s="14" t="n"/>
      <c r="C28" s="14" t="n"/>
      <c r="D28" s="14" t="n"/>
      <c r="E28" s="10">
        <f>IF(D28="","",IFERROR(VLOOKUP(D28,選品庫!A:D,4,FALSE),"找不到"))</f>
        <v/>
      </c>
      <c r="F28" s="14" t="n"/>
      <c r="G28" s="14" t="n"/>
      <c r="H28" s="8" t="n"/>
      <c r="I28" s="8" t="n"/>
      <c r="J28" s="14" t="n"/>
    </row>
    <row r="29">
      <c r="A29" s="16" t="n"/>
      <c r="B29" s="14" t="n"/>
      <c r="C29" s="14" t="n"/>
      <c r="D29" s="14" t="n"/>
      <c r="E29" s="10">
        <f>IF(D29="","",IFERROR(VLOOKUP(D29,選品庫!A:D,4,FALSE),"找不到"))</f>
        <v/>
      </c>
      <c r="F29" s="14" t="n"/>
      <c r="G29" s="14" t="n"/>
      <c r="H29" s="8" t="n"/>
      <c r="I29" s="8" t="n"/>
      <c r="J29" s="14" t="n"/>
    </row>
    <row r="30">
      <c r="A30" s="16" t="n"/>
      <c r="B30" s="14" t="n"/>
      <c r="C30" s="14" t="n"/>
      <c r="D30" s="14" t="n"/>
      <c r="E30" s="10">
        <f>IF(D30="","",IFERROR(VLOOKUP(D30,選品庫!A:D,4,FALSE),"找不到"))</f>
        <v/>
      </c>
      <c r="F30" s="14" t="n"/>
      <c r="G30" s="14" t="n"/>
      <c r="H30" s="8" t="n"/>
      <c r="I30" s="8" t="n"/>
      <c r="J30" s="14" t="n"/>
    </row>
    <row r="31">
      <c r="A31" s="16" t="n"/>
      <c r="B31" s="14" t="n"/>
      <c r="C31" s="14" t="n"/>
      <c r="D31" s="14" t="n"/>
      <c r="E31" s="10">
        <f>IF(D31="","",IFERROR(VLOOKUP(D31,選品庫!A:D,4,FALSE),"找不到"))</f>
        <v/>
      </c>
      <c r="F31" s="14" t="n"/>
      <c r="G31" s="14" t="n"/>
      <c r="H31" s="8" t="n"/>
      <c r="I31" s="8" t="n"/>
      <c r="J31" s="14" t="n"/>
    </row>
    <row r="32">
      <c r="A32" s="16" t="n"/>
      <c r="B32" s="14" t="n"/>
      <c r="C32" s="14" t="n"/>
      <c r="D32" s="14" t="n"/>
      <c r="E32" s="10">
        <f>IF(D32="","",IFERROR(VLOOKUP(D32,選品庫!A:D,4,FALSE),"找不到"))</f>
        <v/>
      </c>
      <c r="F32" s="14" t="n"/>
      <c r="G32" s="14" t="n"/>
      <c r="H32" s="8" t="n"/>
      <c r="I32" s="8" t="n"/>
      <c r="J32" s="14" t="n"/>
    </row>
    <row r="33">
      <c r="A33" s="16" t="n"/>
      <c r="B33" s="14" t="n"/>
      <c r="C33" s="14" t="n"/>
      <c r="D33" s="14" t="n"/>
      <c r="E33" s="10">
        <f>IF(D33="","",IFERROR(VLOOKUP(D33,選品庫!A:D,4,FALSE),"找不到"))</f>
        <v/>
      </c>
      <c r="F33" s="14" t="n"/>
      <c r="G33" s="14" t="n"/>
      <c r="H33" s="8" t="n"/>
      <c r="I33" s="8" t="n"/>
      <c r="J33" s="14" t="n"/>
    </row>
    <row r="34">
      <c r="A34" s="16" t="n"/>
      <c r="B34" s="14" t="n"/>
      <c r="C34" s="14" t="n"/>
      <c r="D34" s="14" t="n"/>
      <c r="E34" s="10">
        <f>IF(D34="","",IFERROR(VLOOKUP(D34,選品庫!A:D,4,FALSE),"找不到"))</f>
        <v/>
      </c>
      <c r="F34" s="14" t="n"/>
      <c r="G34" s="14" t="n"/>
      <c r="H34" s="8" t="n"/>
      <c r="I34" s="8" t="n"/>
      <c r="J34" s="14" t="n"/>
    </row>
    <row r="35">
      <c r="A35" s="16" t="n"/>
      <c r="B35" s="14" t="n"/>
      <c r="C35" s="14" t="n"/>
      <c r="D35" s="14" t="n"/>
      <c r="E35" s="10">
        <f>IF(D35="","",IFERROR(VLOOKUP(D35,選品庫!A:D,4,FALSE),"找不到"))</f>
        <v/>
      </c>
      <c r="F35" s="14" t="n"/>
      <c r="G35" s="14" t="n"/>
      <c r="H35" s="8" t="n"/>
      <c r="I35" s="8" t="n"/>
      <c r="J35" s="14" t="n"/>
    </row>
    <row r="36">
      <c r="A36" s="16" t="n"/>
      <c r="B36" s="14" t="n"/>
      <c r="C36" s="14" t="n"/>
      <c r="D36" s="14" t="n"/>
      <c r="E36" s="10">
        <f>IF(D36="","",IFERROR(VLOOKUP(D36,選品庫!A:D,4,FALSE),"找不到"))</f>
        <v/>
      </c>
      <c r="F36" s="14" t="n"/>
      <c r="G36" s="14" t="n"/>
      <c r="H36" s="8" t="n"/>
      <c r="I36" s="8" t="n"/>
      <c r="J36" s="14" t="n"/>
    </row>
    <row r="37">
      <c r="A37" s="16" t="n"/>
      <c r="B37" s="14" t="n"/>
      <c r="C37" s="14" t="n"/>
      <c r="D37" s="14" t="n"/>
      <c r="E37" s="10">
        <f>IF(D37="","",IFERROR(VLOOKUP(D37,選品庫!A:D,4,FALSE),"找不到"))</f>
        <v/>
      </c>
      <c r="F37" s="14" t="n"/>
      <c r="G37" s="14" t="n"/>
      <c r="H37" s="8" t="n"/>
      <c r="I37" s="8" t="n"/>
      <c r="J37" s="14" t="n"/>
    </row>
    <row r="38">
      <c r="A38" s="16" t="n"/>
      <c r="B38" s="14" t="n"/>
      <c r="C38" s="14" t="n"/>
      <c r="D38" s="14" t="n"/>
      <c r="E38" s="10">
        <f>IF(D38="","",IFERROR(VLOOKUP(D38,選品庫!A:D,4,FALSE),"找不到"))</f>
        <v/>
      </c>
      <c r="F38" s="14" t="n"/>
      <c r="G38" s="14" t="n"/>
      <c r="H38" s="8" t="n"/>
      <c r="I38" s="8" t="n"/>
      <c r="J38" s="14" t="n"/>
    </row>
    <row r="39">
      <c r="A39" s="16" t="n"/>
      <c r="B39" s="14" t="n"/>
      <c r="C39" s="14" t="n"/>
      <c r="D39" s="14" t="n"/>
      <c r="E39" s="10">
        <f>IF(D39="","",IFERROR(VLOOKUP(D39,選品庫!A:D,4,FALSE),"找不到"))</f>
        <v/>
      </c>
      <c r="F39" s="14" t="n"/>
      <c r="G39" s="14" t="n"/>
      <c r="H39" s="8" t="n"/>
      <c r="I39" s="8" t="n"/>
      <c r="J39" s="14" t="n"/>
    </row>
    <row r="40">
      <c r="A40" s="16" t="n"/>
      <c r="B40" s="14" t="n"/>
      <c r="C40" s="14" t="n"/>
      <c r="D40" s="14" t="n"/>
      <c r="E40" s="10">
        <f>IF(D40="","",IFERROR(VLOOKUP(D40,選品庫!A:D,4,FALSE),"找不到"))</f>
        <v/>
      </c>
      <c r="F40" s="14" t="n"/>
      <c r="G40" s="14" t="n"/>
      <c r="H40" s="8" t="n"/>
      <c r="I40" s="8" t="n"/>
      <c r="J40" s="14" t="n"/>
    </row>
    <row r="41">
      <c r="A41" s="16" t="n"/>
      <c r="B41" s="14" t="n"/>
      <c r="C41" s="14" t="n"/>
      <c r="D41" s="14" t="n"/>
      <c r="E41" s="10">
        <f>IF(D41="","",IFERROR(VLOOKUP(D41,選品庫!A:D,4,FALSE),"找不到"))</f>
        <v/>
      </c>
      <c r="F41" s="14" t="n"/>
      <c r="G41" s="14" t="n"/>
      <c r="H41" s="8" t="n"/>
      <c r="I41" s="8" t="n"/>
      <c r="J41" s="14" t="n"/>
    </row>
    <row r="42">
      <c r="A42" s="16" t="n"/>
      <c r="B42" s="14" t="n"/>
      <c r="C42" s="14" t="n"/>
      <c r="D42" s="14" t="n"/>
      <c r="E42" s="10">
        <f>IF(D42="","",IFERROR(VLOOKUP(D42,選品庫!A:D,4,FALSE),"找不到"))</f>
        <v/>
      </c>
      <c r="F42" s="14" t="n"/>
      <c r="G42" s="14" t="n"/>
      <c r="H42" s="8" t="n"/>
      <c r="I42" s="8" t="n"/>
      <c r="J42" s="14" t="n"/>
    </row>
    <row r="43">
      <c r="A43" s="16" t="n"/>
      <c r="B43" s="14" t="n"/>
      <c r="C43" s="14" t="n"/>
      <c r="D43" s="14" t="n"/>
      <c r="E43" s="10">
        <f>IF(D43="","",IFERROR(VLOOKUP(D43,選品庫!A:D,4,FALSE),"找不到"))</f>
        <v/>
      </c>
      <c r="F43" s="14" t="n"/>
      <c r="G43" s="14" t="n"/>
      <c r="H43" s="8" t="n"/>
      <c r="I43" s="8" t="n"/>
      <c r="J43" s="14" t="n"/>
    </row>
    <row r="44">
      <c r="A44" s="16" t="n"/>
      <c r="B44" s="14" t="n"/>
      <c r="C44" s="14" t="n"/>
      <c r="D44" s="14" t="n"/>
      <c r="E44" s="10">
        <f>IF(D44="","",IFERROR(VLOOKUP(D44,選品庫!A:D,4,FALSE),"找不到"))</f>
        <v/>
      </c>
      <c r="F44" s="14" t="n"/>
      <c r="G44" s="14" t="n"/>
      <c r="H44" s="8" t="n"/>
      <c r="I44" s="8" t="n"/>
      <c r="J44" s="14" t="n"/>
    </row>
    <row r="45">
      <c r="A45" s="16" t="n"/>
      <c r="B45" s="14" t="n"/>
      <c r="C45" s="14" t="n"/>
      <c r="D45" s="14" t="n"/>
      <c r="E45" s="10">
        <f>IF(D45="","",IFERROR(VLOOKUP(D45,選品庫!A:D,4,FALSE),"找不到"))</f>
        <v/>
      </c>
      <c r="F45" s="14" t="n"/>
      <c r="G45" s="14" t="n"/>
      <c r="H45" s="8" t="n"/>
      <c r="I45" s="8" t="n"/>
      <c r="J45" s="14" t="n"/>
    </row>
    <row r="46">
      <c r="A46" s="16" t="n"/>
      <c r="B46" s="14" t="n"/>
      <c r="C46" s="14" t="n"/>
      <c r="D46" s="14" t="n"/>
      <c r="E46" s="10">
        <f>IF(D46="","",IFERROR(VLOOKUP(D46,選品庫!A:D,4,FALSE),"找不到"))</f>
        <v/>
      </c>
      <c r="F46" s="14" t="n"/>
      <c r="G46" s="14" t="n"/>
      <c r="H46" s="8" t="n"/>
      <c r="I46" s="8" t="n"/>
      <c r="J46" s="14" t="n"/>
    </row>
    <row r="47">
      <c r="A47" s="16" t="n"/>
      <c r="B47" s="14" t="n"/>
      <c r="C47" s="14" t="n"/>
      <c r="D47" s="14" t="n"/>
      <c r="E47" s="10">
        <f>IF(D47="","",IFERROR(VLOOKUP(D47,選品庫!A:D,4,FALSE),"找不到"))</f>
        <v/>
      </c>
      <c r="F47" s="14" t="n"/>
      <c r="G47" s="14" t="n"/>
      <c r="H47" s="8" t="n"/>
      <c r="I47" s="8" t="n"/>
      <c r="J47" s="14" t="n"/>
    </row>
    <row r="48">
      <c r="A48" s="16" t="n"/>
      <c r="B48" s="14" t="n"/>
      <c r="C48" s="14" t="n"/>
      <c r="D48" s="14" t="n"/>
      <c r="E48" s="10">
        <f>IF(D48="","",IFERROR(VLOOKUP(D48,選品庫!A:D,4,FALSE),"找不到"))</f>
        <v/>
      </c>
      <c r="F48" s="14" t="n"/>
      <c r="G48" s="14" t="n"/>
      <c r="H48" s="8" t="n"/>
      <c r="I48" s="8" t="n"/>
      <c r="J48" s="14" t="n"/>
    </row>
    <row r="49">
      <c r="A49" s="16" t="n"/>
      <c r="B49" s="14" t="n"/>
      <c r="C49" s="14" t="n"/>
      <c r="D49" s="14" t="n"/>
      <c r="E49" s="10">
        <f>IF(D49="","",IFERROR(VLOOKUP(D49,選品庫!A:D,4,FALSE),"找不到"))</f>
        <v/>
      </c>
      <c r="F49" s="14" t="n"/>
      <c r="G49" s="14" t="n"/>
      <c r="H49" s="8" t="n"/>
      <c r="I49" s="8" t="n"/>
      <c r="J49" s="14" t="n"/>
    </row>
    <row r="50">
      <c r="A50" s="16" t="n"/>
      <c r="B50" s="14" t="n"/>
      <c r="C50" s="14" t="n"/>
      <c r="D50" s="14" t="n"/>
      <c r="E50" s="10">
        <f>IF(D50="","",IFERROR(VLOOKUP(D50,選品庫!A:D,4,FALSE),"找不到"))</f>
        <v/>
      </c>
      <c r="F50" s="14" t="n"/>
      <c r="G50" s="14" t="n"/>
      <c r="H50" s="8" t="n"/>
      <c r="I50" s="8" t="n"/>
      <c r="J50" s="14" t="n"/>
    </row>
    <row r="51">
      <c r="A51" s="16" t="n"/>
      <c r="B51" s="14" t="n"/>
      <c r="C51" s="14" t="n"/>
      <c r="D51" s="14" t="n"/>
      <c r="E51" s="10">
        <f>IF(D51="","",IFERROR(VLOOKUP(D51,選品庫!A:D,4,FALSE),"找不到"))</f>
        <v/>
      </c>
      <c r="F51" s="14" t="n"/>
      <c r="G51" s="14" t="n"/>
      <c r="H51" s="8" t="n"/>
      <c r="I51" s="8" t="n"/>
      <c r="J51" s="14" t="n"/>
    </row>
    <row r="52">
      <c r="A52" s="16" t="n"/>
      <c r="B52" s="14" t="n"/>
      <c r="C52" s="14" t="n"/>
      <c r="D52" s="14" t="n"/>
      <c r="E52" s="10">
        <f>IF(D52="","",IFERROR(VLOOKUP(D52,選品庫!A:D,4,FALSE),"找不到"))</f>
        <v/>
      </c>
      <c r="F52" s="14" t="n"/>
      <c r="G52" s="14" t="n"/>
      <c r="H52" s="8" t="n"/>
      <c r="I52" s="8" t="n"/>
      <c r="J52" s="14" t="n"/>
    </row>
    <row r="53">
      <c r="A53" s="16" t="n"/>
      <c r="B53" s="14" t="n"/>
      <c r="C53" s="14" t="n"/>
      <c r="D53" s="14" t="n"/>
      <c r="E53" s="10">
        <f>IF(D53="","",IFERROR(VLOOKUP(D53,選品庫!A:D,4,FALSE),"找不到"))</f>
        <v/>
      </c>
      <c r="F53" s="14" t="n"/>
      <c r="G53" s="14" t="n"/>
      <c r="H53" s="8" t="n"/>
      <c r="I53" s="8" t="n"/>
      <c r="J53" s="14" t="n"/>
    </row>
    <row r="54">
      <c r="A54" s="16" t="n"/>
      <c r="B54" s="14" t="n"/>
      <c r="C54" s="14" t="n"/>
      <c r="D54" s="14" t="n"/>
      <c r="E54" s="10">
        <f>IF(D54="","",IFERROR(VLOOKUP(D54,選品庫!A:D,4,FALSE),"找不到"))</f>
        <v/>
      </c>
      <c r="F54" s="14" t="n"/>
      <c r="G54" s="14" t="n"/>
      <c r="H54" s="8" t="n"/>
      <c r="I54" s="8" t="n"/>
      <c r="J54" s="14" t="n"/>
    </row>
    <row r="55">
      <c r="A55" s="16" t="n"/>
      <c r="B55" s="14" t="n"/>
      <c r="C55" s="14" t="n"/>
      <c r="D55" s="14" t="n"/>
      <c r="E55" s="10">
        <f>IF(D55="","",IFERROR(VLOOKUP(D55,選品庫!A:D,4,FALSE),"找不到"))</f>
        <v/>
      </c>
      <c r="F55" s="14" t="n"/>
      <c r="G55" s="14" t="n"/>
      <c r="H55" s="8" t="n"/>
      <c r="I55" s="8" t="n"/>
      <c r="J55" s="14" t="n"/>
    </row>
    <row r="56">
      <c r="A56" s="16" t="n"/>
      <c r="B56" s="14" t="n"/>
      <c r="C56" s="14" t="n"/>
      <c r="D56" s="14" t="n"/>
      <c r="E56" s="10">
        <f>IF(D56="","",IFERROR(VLOOKUP(D56,選品庫!A:D,4,FALSE),"找不到"))</f>
        <v/>
      </c>
      <c r="F56" s="14" t="n"/>
      <c r="G56" s="14" t="n"/>
      <c r="H56" s="8" t="n"/>
      <c r="I56" s="8" t="n"/>
      <c r="J56" s="14" t="n"/>
    </row>
    <row r="57">
      <c r="A57" s="16" t="n"/>
      <c r="B57" s="14" t="n"/>
      <c r="C57" s="14" t="n"/>
      <c r="D57" s="14" t="n"/>
      <c r="E57" s="10">
        <f>IF(D57="","",IFERROR(VLOOKUP(D57,選品庫!A:D,4,FALSE),"找不到"))</f>
        <v/>
      </c>
      <c r="F57" s="14" t="n"/>
      <c r="G57" s="14" t="n"/>
      <c r="H57" s="8" t="n"/>
      <c r="I57" s="8" t="n"/>
      <c r="J57" s="14" t="n"/>
    </row>
    <row r="58">
      <c r="A58" s="16" t="n"/>
      <c r="B58" s="14" t="n"/>
      <c r="C58" s="14" t="n"/>
      <c r="D58" s="14" t="n"/>
      <c r="E58" s="10">
        <f>IF(D58="","",IFERROR(VLOOKUP(D58,選品庫!A:D,4,FALSE),"找不到"))</f>
        <v/>
      </c>
      <c r="F58" s="14" t="n"/>
      <c r="G58" s="14" t="n"/>
      <c r="H58" s="8" t="n"/>
      <c r="I58" s="8" t="n"/>
      <c r="J58" s="14" t="n"/>
    </row>
    <row r="59">
      <c r="A59" s="16" t="n"/>
      <c r="B59" s="14" t="n"/>
      <c r="C59" s="14" t="n"/>
      <c r="D59" s="14" t="n"/>
      <c r="E59" s="10">
        <f>IF(D59="","",IFERROR(VLOOKUP(D59,選品庫!A:D,4,FALSE),"找不到"))</f>
        <v/>
      </c>
      <c r="F59" s="14" t="n"/>
      <c r="G59" s="14" t="n"/>
      <c r="H59" s="8" t="n"/>
      <c r="I59" s="8" t="n"/>
      <c r="J59" s="14" t="n"/>
    </row>
    <row r="60">
      <c r="A60" s="16" t="n"/>
      <c r="B60" s="14" t="n"/>
      <c r="C60" s="14" t="n"/>
      <c r="D60" s="14" t="n"/>
      <c r="E60" s="10">
        <f>IF(D60="","",IFERROR(VLOOKUP(D60,選品庫!A:D,4,FALSE),"找不到"))</f>
        <v/>
      </c>
      <c r="F60" s="14" t="n"/>
      <c r="G60" s="14" t="n"/>
      <c r="H60" s="8" t="n"/>
      <c r="I60" s="8" t="n"/>
      <c r="J60" s="14" t="n"/>
    </row>
    <row r="61">
      <c r="A61" s="16" t="n"/>
      <c r="B61" s="14" t="n"/>
      <c r="C61" s="14" t="n"/>
      <c r="D61" s="14" t="n"/>
      <c r="E61" s="10">
        <f>IF(D61="","",IFERROR(VLOOKUP(D61,選品庫!A:D,4,FALSE),"找不到"))</f>
        <v/>
      </c>
      <c r="F61" s="14" t="n"/>
      <c r="G61" s="14" t="n"/>
      <c r="H61" s="8" t="n"/>
      <c r="I61" s="8" t="n"/>
      <c r="J61" s="14" t="n"/>
    </row>
    <row r="62">
      <c r="A62" s="16" t="n"/>
      <c r="B62" s="14" t="n"/>
      <c r="C62" s="14" t="n"/>
      <c r="D62" s="14" t="n"/>
      <c r="E62" s="10">
        <f>IF(D62="","",IFERROR(VLOOKUP(D62,選品庫!A:D,4,FALSE),"找不到"))</f>
        <v/>
      </c>
      <c r="F62" s="14" t="n"/>
      <c r="G62" s="14" t="n"/>
      <c r="H62" s="8" t="n"/>
      <c r="I62" s="8" t="n"/>
      <c r="J62" s="14" t="n"/>
    </row>
    <row r="63">
      <c r="A63" s="16" t="n"/>
      <c r="B63" s="14" t="n"/>
      <c r="C63" s="14" t="n"/>
      <c r="D63" s="14" t="n"/>
      <c r="E63" s="10">
        <f>IF(D63="","",IFERROR(VLOOKUP(D63,選品庫!A:D,4,FALSE),"找不到"))</f>
        <v/>
      </c>
      <c r="F63" s="14" t="n"/>
      <c r="G63" s="14" t="n"/>
      <c r="H63" s="8" t="n"/>
      <c r="I63" s="8" t="n"/>
      <c r="J63" s="14" t="n"/>
    </row>
    <row r="64">
      <c r="A64" s="16" t="n"/>
      <c r="B64" s="14" t="n"/>
      <c r="C64" s="14" t="n"/>
      <c r="D64" s="14" t="n"/>
      <c r="E64" s="10">
        <f>IF(D64="","",IFERROR(VLOOKUP(D64,選品庫!A:D,4,FALSE),"找不到"))</f>
        <v/>
      </c>
      <c r="F64" s="14" t="n"/>
      <c r="G64" s="14" t="n"/>
      <c r="H64" s="8" t="n"/>
      <c r="I64" s="8" t="n"/>
      <c r="J64" s="14" t="n"/>
    </row>
    <row r="65">
      <c r="A65" s="16" t="n"/>
      <c r="B65" s="14" t="n"/>
      <c r="C65" s="14" t="n"/>
      <c r="D65" s="14" t="n"/>
      <c r="E65" s="10">
        <f>IF(D65="","",IFERROR(VLOOKUP(D65,選品庫!A:D,4,FALSE),"找不到"))</f>
        <v/>
      </c>
      <c r="F65" s="14" t="n"/>
      <c r="G65" s="14" t="n"/>
      <c r="H65" s="8" t="n"/>
      <c r="I65" s="8" t="n"/>
      <c r="J65" s="14" t="n"/>
    </row>
    <row r="66">
      <c r="A66" s="16" t="n"/>
      <c r="B66" s="14" t="n"/>
      <c r="C66" s="14" t="n"/>
      <c r="D66" s="14" t="n"/>
      <c r="E66" s="10">
        <f>IF(D66="","",IFERROR(VLOOKUP(D66,選品庫!A:D,4,FALSE),"找不到"))</f>
        <v/>
      </c>
      <c r="F66" s="14" t="n"/>
      <c r="G66" s="14" t="n"/>
      <c r="H66" s="8" t="n"/>
      <c r="I66" s="8" t="n"/>
      <c r="J66" s="14" t="n"/>
    </row>
    <row r="67">
      <c r="A67" s="16" t="n"/>
      <c r="B67" s="14" t="n"/>
      <c r="C67" s="14" t="n"/>
      <c r="D67" s="14" t="n"/>
      <c r="E67" s="10">
        <f>IF(D67="","",IFERROR(VLOOKUP(D67,選品庫!A:D,4,FALSE),"找不到"))</f>
        <v/>
      </c>
      <c r="F67" s="14" t="n"/>
      <c r="G67" s="14" t="n"/>
      <c r="H67" s="8" t="n"/>
      <c r="I67" s="8" t="n"/>
      <c r="J67" s="14" t="n"/>
    </row>
    <row r="68">
      <c r="A68" s="16" t="n"/>
      <c r="B68" s="14" t="n"/>
      <c r="C68" s="14" t="n"/>
      <c r="D68" s="14" t="n"/>
      <c r="E68" s="10">
        <f>IF(D68="","",IFERROR(VLOOKUP(D68,選品庫!A:D,4,FALSE),"找不到"))</f>
        <v/>
      </c>
      <c r="F68" s="14" t="n"/>
      <c r="G68" s="14" t="n"/>
      <c r="H68" s="8" t="n"/>
      <c r="I68" s="8" t="n"/>
      <c r="J68" s="14" t="n"/>
    </row>
    <row r="69">
      <c r="A69" s="16" t="n"/>
      <c r="B69" s="14" t="n"/>
      <c r="C69" s="14" t="n"/>
      <c r="D69" s="14" t="n"/>
      <c r="E69" s="10">
        <f>IF(D69="","",IFERROR(VLOOKUP(D69,選品庫!A:D,4,FALSE),"找不到"))</f>
        <v/>
      </c>
      <c r="F69" s="14" t="n"/>
      <c r="G69" s="14" t="n"/>
      <c r="H69" s="8" t="n"/>
      <c r="I69" s="8" t="n"/>
      <c r="J69" s="14" t="n"/>
    </row>
    <row r="70">
      <c r="A70" s="16" t="n"/>
      <c r="B70" s="14" t="n"/>
      <c r="C70" s="14" t="n"/>
      <c r="D70" s="14" t="n"/>
      <c r="E70" s="10">
        <f>IF(D70="","",IFERROR(VLOOKUP(D70,選品庫!A:D,4,FALSE),"找不到"))</f>
        <v/>
      </c>
      <c r="F70" s="14" t="n"/>
      <c r="G70" s="14" t="n"/>
      <c r="H70" s="8" t="n"/>
      <c r="I70" s="8" t="n"/>
      <c r="J70" s="14" t="n"/>
    </row>
    <row r="71">
      <c r="A71" s="16" t="n"/>
      <c r="B71" s="14" t="n"/>
      <c r="C71" s="14" t="n"/>
      <c r="D71" s="14" t="n"/>
      <c r="E71" s="10">
        <f>IF(D71="","",IFERROR(VLOOKUP(D71,選品庫!A:D,4,FALSE),"找不到"))</f>
        <v/>
      </c>
      <c r="F71" s="14" t="n"/>
      <c r="G71" s="14" t="n"/>
      <c r="H71" s="8" t="n"/>
      <c r="I71" s="8" t="n"/>
      <c r="J71" s="14" t="n"/>
    </row>
    <row r="72">
      <c r="A72" s="16" t="n"/>
      <c r="B72" s="14" t="n"/>
      <c r="C72" s="14" t="n"/>
      <c r="D72" s="14" t="n"/>
      <c r="E72" s="10">
        <f>IF(D72="","",IFERROR(VLOOKUP(D72,選品庫!A:D,4,FALSE),"找不到"))</f>
        <v/>
      </c>
      <c r="F72" s="14" t="n"/>
      <c r="G72" s="14" t="n"/>
      <c r="H72" s="8" t="n"/>
      <c r="I72" s="8" t="n"/>
      <c r="J72" s="14" t="n"/>
    </row>
    <row r="73">
      <c r="A73" s="16" t="n"/>
      <c r="B73" s="14" t="n"/>
      <c r="C73" s="14" t="n"/>
      <c r="D73" s="14" t="n"/>
      <c r="E73" s="10">
        <f>IF(D73="","",IFERROR(VLOOKUP(D73,選品庫!A:D,4,FALSE),"找不到"))</f>
        <v/>
      </c>
      <c r="F73" s="14" t="n"/>
      <c r="G73" s="14" t="n"/>
      <c r="H73" s="8" t="n"/>
      <c r="I73" s="8" t="n"/>
      <c r="J73" s="14" t="n"/>
    </row>
    <row r="74">
      <c r="A74" s="16" t="n"/>
      <c r="B74" s="14" t="n"/>
      <c r="C74" s="14" t="n"/>
      <c r="D74" s="14" t="n"/>
      <c r="E74" s="10">
        <f>IF(D74="","",IFERROR(VLOOKUP(D74,選品庫!A:D,4,FALSE),"找不到"))</f>
        <v/>
      </c>
      <c r="F74" s="14" t="n"/>
      <c r="G74" s="14" t="n"/>
      <c r="H74" s="8" t="n"/>
      <c r="I74" s="8" t="n"/>
      <c r="J74" s="14" t="n"/>
    </row>
    <row r="75">
      <c r="A75" s="16" t="n"/>
      <c r="B75" s="14" t="n"/>
      <c r="C75" s="14" t="n"/>
      <c r="D75" s="14" t="n"/>
      <c r="E75" s="10">
        <f>IF(D75="","",IFERROR(VLOOKUP(D75,選品庫!A:D,4,FALSE),"找不到"))</f>
        <v/>
      </c>
      <c r="F75" s="14" t="n"/>
      <c r="G75" s="14" t="n"/>
      <c r="H75" s="8" t="n"/>
      <c r="I75" s="8" t="n"/>
      <c r="J75" s="14" t="n"/>
    </row>
    <row r="76">
      <c r="A76" s="16" t="n"/>
      <c r="B76" s="14" t="n"/>
      <c r="C76" s="14" t="n"/>
      <c r="D76" s="14" t="n"/>
      <c r="E76" s="10">
        <f>IF(D76="","",IFERROR(VLOOKUP(D76,選品庫!A:D,4,FALSE),"找不到"))</f>
        <v/>
      </c>
      <c r="F76" s="14" t="n"/>
      <c r="G76" s="14" t="n"/>
      <c r="H76" s="8" t="n"/>
      <c r="I76" s="8" t="n"/>
      <c r="J76" s="14" t="n"/>
    </row>
    <row r="77">
      <c r="A77" s="16" t="n"/>
      <c r="B77" s="14" t="n"/>
      <c r="C77" s="14" t="n"/>
      <c r="D77" s="14" t="n"/>
      <c r="E77" s="10">
        <f>IF(D77="","",IFERROR(VLOOKUP(D77,選品庫!A:D,4,FALSE),"找不到"))</f>
        <v/>
      </c>
      <c r="F77" s="14" t="n"/>
      <c r="G77" s="14" t="n"/>
      <c r="H77" s="8" t="n"/>
      <c r="I77" s="8" t="n"/>
      <c r="J77" s="14" t="n"/>
    </row>
    <row r="78">
      <c r="A78" s="16" t="n"/>
      <c r="B78" s="14" t="n"/>
      <c r="C78" s="14" t="n"/>
      <c r="D78" s="14" t="n"/>
      <c r="E78" s="10">
        <f>IF(D78="","",IFERROR(VLOOKUP(D78,選品庫!A:D,4,FALSE),"找不到"))</f>
        <v/>
      </c>
      <c r="F78" s="14" t="n"/>
      <c r="G78" s="14" t="n"/>
      <c r="H78" s="8" t="n"/>
      <c r="I78" s="8" t="n"/>
      <c r="J78" s="14" t="n"/>
    </row>
    <row r="79">
      <c r="A79" s="16" t="n"/>
      <c r="B79" s="14" t="n"/>
      <c r="C79" s="14" t="n"/>
      <c r="D79" s="14" t="n"/>
      <c r="E79" s="10">
        <f>IF(D79="","",IFERROR(VLOOKUP(D79,選品庫!A:D,4,FALSE),"找不到"))</f>
        <v/>
      </c>
      <c r="F79" s="14" t="n"/>
      <c r="G79" s="14" t="n"/>
      <c r="H79" s="8" t="n"/>
      <c r="I79" s="8" t="n"/>
      <c r="J79" s="14" t="n"/>
    </row>
    <row r="80">
      <c r="A80" s="16" t="n"/>
      <c r="B80" s="14" t="n"/>
      <c r="C80" s="14" t="n"/>
      <c r="D80" s="14" t="n"/>
      <c r="E80" s="10">
        <f>IF(D80="","",IFERROR(VLOOKUP(D80,選品庫!A:D,4,FALSE),"找不到"))</f>
        <v/>
      </c>
      <c r="F80" s="14" t="n"/>
      <c r="G80" s="14" t="n"/>
      <c r="H80" s="8" t="n"/>
      <c r="I80" s="8" t="n"/>
      <c r="J80" s="14" t="n"/>
    </row>
    <row r="81">
      <c r="A81" s="16" t="n"/>
      <c r="B81" s="14" t="n"/>
      <c r="C81" s="14" t="n"/>
      <c r="D81" s="14" t="n"/>
      <c r="E81" s="10">
        <f>IF(D81="","",IFERROR(VLOOKUP(D81,選品庫!A:D,4,FALSE),"找不到"))</f>
        <v/>
      </c>
      <c r="F81" s="14" t="n"/>
      <c r="G81" s="14" t="n"/>
      <c r="H81" s="8" t="n"/>
      <c r="I81" s="8" t="n"/>
      <c r="J81" s="14" t="n"/>
    </row>
    <row r="82">
      <c r="A82" s="16" t="n"/>
      <c r="B82" s="14" t="n"/>
      <c r="C82" s="14" t="n"/>
      <c r="D82" s="14" t="n"/>
      <c r="E82" s="10">
        <f>IF(D82="","",IFERROR(VLOOKUP(D82,選品庫!A:D,4,FALSE),"找不到"))</f>
        <v/>
      </c>
      <c r="F82" s="14" t="n"/>
      <c r="G82" s="14" t="n"/>
      <c r="H82" s="8" t="n"/>
      <c r="I82" s="8" t="n"/>
      <c r="J82" s="14" t="n"/>
    </row>
    <row r="83">
      <c r="A83" s="16" t="n"/>
      <c r="B83" s="14" t="n"/>
      <c r="C83" s="14" t="n"/>
      <c r="D83" s="14" t="n"/>
      <c r="E83" s="10">
        <f>IF(D83="","",IFERROR(VLOOKUP(D83,選品庫!A:D,4,FALSE),"找不到"))</f>
        <v/>
      </c>
      <c r="F83" s="14" t="n"/>
      <c r="G83" s="14" t="n"/>
      <c r="H83" s="8" t="n"/>
      <c r="I83" s="8" t="n"/>
      <c r="J83" s="14" t="n"/>
    </row>
    <row r="84">
      <c r="A84" s="16" t="n"/>
      <c r="B84" s="14" t="n"/>
      <c r="C84" s="14" t="n"/>
      <c r="D84" s="14" t="n"/>
      <c r="E84" s="10">
        <f>IF(D84="","",IFERROR(VLOOKUP(D84,選品庫!A:D,4,FALSE),"找不到"))</f>
        <v/>
      </c>
      <c r="F84" s="14" t="n"/>
      <c r="G84" s="14" t="n"/>
      <c r="H84" s="8" t="n"/>
      <c r="I84" s="8" t="n"/>
      <c r="J84" s="14" t="n"/>
    </row>
    <row r="85">
      <c r="A85" s="16" t="n"/>
      <c r="B85" s="14" t="n"/>
      <c r="C85" s="14" t="n"/>
      <c r="D85" s="14" t="n"/>
      <c r="E85" s="10">
        <f>IF(D85="","",IFERROR(VLOOKUP(D85,選品庫!A:D,4,FALSE),"找不到"))</f>
        <v/>
      </c>
      <c r="F85" s="14" t="n"/>
      <c r="G85" s="14" t="n"/>
      <c r="H85" s="8" t="n"/>
      <c r="I85" s="8" t="n"/>
      <c r="J85" s="14" t="n"/>
    </row>
    <row r="86">
      <c r="A86" s="16" t="n"/>
      <c r="B86" s="14" t="n"/>
      <c r="C86" s="14" t="n"/>
      <c r="D86" s="14" t="n"/>
      <c r="E86" s="10">
        <f>IF(D86="","",IFERROR(VLOOKUP(D86,選品庫!A:D,4,FALSE),"找不到"))</f>
        <v/>
      </c>
      <c r="F86" s="14" t="n"/>
      <c r="G86" s="14" t="n"/>
      <c r="H86" s="8" t="n"/>
      <c r="I86" s="8" t="n"/>
      <c r="J86" s="14" t="n"/>
    </row>
    <row r="87">
      <c r="A87" s="16" t="n"/>
      <c r="B87" s="14" t="n"/>
      <c r="C87" s="14" t="n"/>
      <c r="D87" s="14" t="n"/>
      <c r="E87" s="10">
        <f>IF(D87="","",IFERROR(VLOOKUP(D87,選品庫!A:D,4,FALSE),"找不到"))</f>
        <v/>
      </c>
      <c r="F87" s="14" t="n"/>
      <c r="G87" s="14" t="n"/>
      <c r="H87" s="8" t="n"/>
      <c r="I87" s="8" t="n"/>
      <c r="J87" s="14" t="n"/>
    </row>
    <row r="88">
      <c r="A88" s="16" t="n"/>
      <c r="B88" s="14" t="n"/>
      <c r="C88" s="14" t="n"/>
      <c r="D88" s="14" t="n"/>
      <c r="E88" s="10">
        <f>IF(D88="","",IFERROR(VLOOKUP(D88,選品庫!A:D,4,FALSE),"找不到"))</f>
        <v/>
      </c>
      <c r="F88" s="14" t="n"/>
      <c r="G88" s="14" t="n"/>
      <c r="H88" s="8" t="n"/>
      <c r="I88" s="8" t="n"/>
      <c r="J88" s="14" t="n"/>
    </row>
    <row r="89">
      <c r="A89" s="16" t="n"/>
      <c r="B89" s="14" t="n"/>
      <c r="C89" s="14" t="n"/>
      <c r="D89" s="14" t="n"/>
      <c r="E89" s="10">
        <f>IF(D89="","",IFERROR(VLOOKUP(D89,選品庫!A:D,4,FALSE),"找不到"))</f>
        <v/>
      </c>
      <c r="F89" s="14" t="n"/>
      <c r="G89" s="14" t="n"/>
      <c r="H89" s="8" t="n"/>
      <c r="I89" s="8" t="n"/>
      <c r="J89" s="14" t="n"/>
    </row>
    <row r="90">
      <c r="A90" s="16" t="n"/>
      <c r="B90" s="14" t="n"/>
      <c r="C90" s="14" t="n"/>
      <c r="D90" s="14" t="n"/>
      <c r="E90" s="10">
        <f>IF(D90="","",IFERROR(VLOOKUP(D90,選品庫!A:D,4,FALSE),"找不到"))</f>
        <v/>
      </c>
      <c r="F90" s="14" t="n"/>
      <c r="G90" s="14" t="n"/>
      <c r="H90" s="8" t="n"/>
      <c r="I90" s="8" t="n"/>
      <c r="J90" s="14" t="n"/>
    </row>
    <row r="91">
      <c r="A91" s="16" t="n"/>
      <c r="B91" s="14" t="n"/>
      <c r="C91" s="14" t="n"/>
      <c r="D91" s="14" t="n"/>
      <c r="E91" s="10">
        <f>IF(D91="","",IFERROR(VLOOKUP(D91,選品庫!A:D,4,FALSE),"找不到"))</f>
        <v/>
      </c>
      <c r="F91" s="14" t="n"/>
      <c r="G91" s="14" t="n"/>
      <c r="H91" s="8" t="n"/>
      <c r="I91" s="8" t="n"/>
      <c r="J91" s="14" t="n"/>
    </row>
    <row r="92">
      <c r="A92" s="16" t="n"/>
      <c r="B92" s="14" t="n"/>
      <c r="C92" s="14" t="n"/>
      <c r="D92" s="14" t="n"/>
      <c r="E92" s="10">
        <f>IF(D92="","",IFERROR(VLOOKUP(D92,選品庫!A:D,4,FALSE),"找不到"))</f>
        <v/>
      </c>
      <c r="F92" s="14" t="n"/>
      <c r="G92" s="14" t="n"/>
      <c r="H92" s="8" t="n"/>
      <c r="I92" s="8" t="n"/>
      <c r="J92" s="14" t="n"/>
    </row>
    <row r="93">
      <c r="A93" s="16" t="n"/>
      <c r="B93" s="14" t="n"/>
      <c r="C93" s="14" t="n"/>
      <c r="D93" s="14" t="n"/>
      <c r="E93" s="10">
        <f>IF(D93="","",IFERROR(VLOOKUP(D93,選品庫!A:D,4,FALSE),"找不到"))</f>
        <v/>
      </c>
      <c r="F93" s="14" t="n"/>
      <c r="G93" s="14" t="n"/>
      <c r="H93" s="8" t="n"/>
      <c r="I93" s="8" t="n"/>
      <c r="J93" s="14" t="n"/>
    </row>
    <row r="94">
      <c r="A94" s="16" t="n"/>
      <c r="B94" s="14" t="n"/>
      <c r="C94" s="14" t="n"/>
      <c r="D94" s="14" t="n"/>
      <c r="E94" s="10">
        <f>IF(D94="","",IFERROR(VLOOKUP(D94,選品庫!A:D,4,FALSE),"找不到"))</f>
        <v/>
      </c>
      <c r="F94" s="14" t="n"/>
      <c r="G94" s="14" t="n"/>
      <c r="H94" s="8" t="n"/>
      <c r="I94" s="8" t="n"/>
      <c r="J94" s="14" t="n"/>
    </row>
    <row r="95">
      <c r="A95" s="16" t="n"/>
      <c r="B95" s="14" t="n"/>
      <c r="C95" s="14" t="n"/>
      <c r="D95" s="14" t="n"/>
      <c r="E95" s="10">
        <f>IF(D95="","",IFERROR(VLOOKUP(D95,選品庫!A:D,4,FALSE),"找不到"))</f>
        <v/>
      </c>
      <c r="F95" s="14" t="n"/>
      <c r="G95" s="14" t="n"/>
      <c r="H95" s="8" t="n"/>
      <c r="I95" s="8" t="n"/>
      <c r="J95" s="14" t="n"/>
    </row>
    <row r="96">
      <c r="A96" s="16" t="n"/>
      <c r="B96" s="14" t="n"/>
      <c r="C96" s="14" t="n"/>
      <c r="D96" s="14" t="n"/>
      <c r="E96" s="10">
        <f>IF(D96="","",IFERROR(VLOOKUP(D96,選品庫!A:D,4,FALSE),"找不到"))</f>
        <v/>
      </c>
      <c r="F96" s="14" t="n"/>
      <c r="G96" s="14" t="n"/>
      <c r="H96" s="8" t="n"/>
      <c r="I96" s="8" t="n"/>
      <c r="J96" s="14" t="n"/>
    </row>
    <row r="97">
      <c r="A97" s="16" t="n"/>
      <c r="B97" s="14" t="n"/>
      <c r="C97" s="14" t="n"/>
      <c r="D97" s="14" t="n"/>
      <c r="E97" s="10">
        <f>IF(D97="","",IFERROR(VLOOKUP(D97,選品庫!A:D,4,FALSE),"找不到"))</f>
        <v/>
      </c>
      <c r="F97" s="14" t="n"/>
      <c r="G97" s="14" t="n"/>
      <c r="H97" s="8" t="n"/>
      <c r="I97" s="8" t="n"/>
      <c r="J97" s="14" t="n"/>
    </row>
    <row r="98">
      <c r="A98" s="16" t="n"/>
      <c r="B98" s="14" t="n"/>
      <c r="C98" s="14" t="n"/>
      <c r="D98" s="14" t="n"/>
      <c r="E98" s="10">
        <f>IF(D98="","",IFERROR(VLOOKUP(D98,選品庫!A:D,4,FALSE),"找不到"))</f>
        <v/>
      </c>
      <c r="F98" s="14" t="n"/>
      <c r="G98" s="14" t="n"/>
      <c r="H98" s="8" t="n"/>
      <c r="I98" s="8" t="n"/>
      <c r="J98" s="14" t="n"/>
    </row>
    <row r="99">
      <c r="A99" s="16" t="n"/>
      <c r="B99" s="14" t="n"/>
      <c r="C99" s="14" t="n"/>
      <c r="D99" s="14" t="n"/>
      <c r="E99" s="10">
        <f>IF(D99="","",IFERROR(VLOOKUP(D99,選品庫!A:D,4,FALSE),"找不到"))</f>
        <v/>
      </c>
      <c r="F99" s="14" t="n"/>
      <c r="G99" s="14" t="n"/>
      <c r="H99" s="8" t="n"/>
      <c r="I99" s="8" t="n"/>
      <c r="J99" s="14" t="n"/>
    </row>
    <row r="100">
      <c r="A100" s="16" t="n"/>
      <c r="B100" s="14" t="n"/>
      <c r="C100" s="14" t="n"/>
      <c r="D100" s="14" t="n"/>
      <c r="E100" s="10">
        <f>IF(D100="","",IFERROR(VLOOKUP(D100,選品庫!A:D,4,FALSE),"找不到"))</f>
        <v/>
      </c>
      <c r="F100" s="14" t="n"/>
      <c r="G100" s="14" t="n"/>
      <c r="H100" s="8" t="n"/>
      <c r="I100" s="8" t="n"/>
      <c r="J100" s="14" t="n"/>
    </row>
    <row r="101">
      <c r="A101" s="16" t="n"/>
      <c r="B101" s="14" t="n"/>
      <c r="C101" s="14" t="n"/>
      <c r="D101" s="14" t="n"/>
      <c r="E101" s="10">
        <f>IF(D101="","",IFERROR(VLOOKUP(D101,選品庫!A:D,4,FALSE),"找不到"))</f>
        <v/>
      </c>
      <c r="F101" s="14" t="n"/>
      <c r="G101" s="14" t="n"/>
      <c r="H101" s="8" t="n"/>
      <c r="I101" s="8" t="n"/>
      <c r="J101" s="14" t="n"/>
    </row>
    <row r="102">
      <c r="A102" s="16" t="n"/>
      <c r="B102" s="14" t="n"/>
      <c r="C102" s="14" t="n"/>
      <c r="D102" s="14" t="n"/>
      <c r="E102" s="10">
        <f>IF(D102="","",IFERROR(VLOOKUP(D102,選品庫!A:D,4,FALSE),"找不到"))</f>
        <v/>
      </c>
      <c r="F102" s="14" t="n"/>
      <c r="G102" s="14" t="n"/>
      <c r="H102" s="8" t="n"/>
      <c r="I102" s="8" t="n"/>
      <c r="J102" s="14" t="n"/>
    </row>
    <row r="103">
      <c r="A103" s="16" t="n"/>
      <c r="B103" s="14" t="n"/>
      <c r="C103" s="14" t="n"/>
      <c r="D103" s="14" t="n"/>
      <c r="E103" s="10">
        <f>IF(D103="","",IFERROR(VLOOKUP(D103,選品庫!A:D,4,FALSE),"找不到"))</f>
        <v/>
      </c>
      <c r="F103" s="14" t="n"/>
      <c r="G103" s="14" t="n"/>
      <c r="H103" s="8" t="n"/>
      <c r="I103" s="8" t="n"/>
      <c r="J103" s="14" t="n"/>
    </row>
    <row r="104">
      <c r="A104" s="16" t="n"/>
      <c r="B104" s="14" t="n"/>
      <c r="C104" s="14" t="n"/>
      <c r="D104" s="14" t="n"/>
      <c r="E104" s="10">
        <f>IF(D104="","",IFERROR(VLOOKUP(D104,選品庫!A:D,4,FALSE),"找不到"))</f>
        <v/>
      </c>
      <c r="F104" s="14" t="n"/>
      <c r="G104" s="14" t="n"/>
      <c r="H104" s="8" t="n"/>
      <c r="I104" s="8" t="n"/>
      <c r="J104" s="14" t="n"/>
    </row>
    <row r="105">
      <c r="A105" s="16" t="n"/>
      <c r="B105" s="14" t="n"/>
      <c r="C105" s="14" t="n"/>
      <c r="D105" s="14" t="n"/>
      <c r="E105" s="10">
        <f>IF(D105="","",IFERROR(VLOOKUP(D105,選品庫!A:D,4,FALSE),"找不到"))</f>
        <v/>
      </c>
      <c r="F105" s="14" t="n"/>
      <c r="G105" s="14" t="n"/>
      <c r="H105" s="8" t="n"/>
      <c r="I105" s="8" t="n"/>
      <c r="J105" s="14" t="n"/>
    </row>
    <row r="106">
      <c r="A106" s="16" t="n"/>
      <c r="B106" s="14" t="n"/>
      <c r="C106" s="14" t="n"/>
      <c r="D106" s="14" t="n"/>
      <c r="E106" s="10">
        <f>IF(D106="","",IFERROR(VLOOKUP(D106,選品庫!A:D,4,FALSE),"找不到"))</f>
        <v/>
      </c>
      <c r="F106" s="14" t="n"/>
      <c r="G106" s="14" t="n"/>
      <c r="H106" s="8" t="n"/>
      <c r="I106" s="8" t="n"/>
      <c r="J106" s="14" t="n"/>
    </row>
    <row r="107">
      <c r="A107" s="16" t="n"/>
      <c r="B107" s="14" t="n"/>
      <c r="C107" s="14" t="n"/>
      <c r="D107" s="14" t="n"/>
      <c r="E107" s="10">
        <f>IF(D107="","",IFERROR(VLOOKUP(D107,選品庫!A:D,4,FALSE),"找不到"))</f>
        <v/>
      </c>
      <c r="F107" s="14" t="n"/>
      <c r="G107" s="14" t="n"/>
      <c r="H107" s="8" t="n"/>
      <c r="I107" s="8" t="n"/>
      <c r="J107" s="14" t="n"/>
    </row>
    <row r="108">
      <c r="A108" s="16" t="n"/>
      <c r="B108" s="14" t="n"/>
      <c r="C108" s="14" t="n"/>
      <c r="D108" s="14" t="n"/>
      <c r="E108" s="10">
        <f>IF(D108="","",IFERROR(VLOOKUP(D108,選品庫!A:D,4,FALSE),"找不到"))</f>
        <v/>
      </c>
      <c r="F108" s="14" t="n"/>
      <c r="G108" s="14" t="n"/>
      <c r="H108" s="8" t="n"/>
      <c r="I108" s="8" t="n"/>
      <c r="J108" s="14" t="n"/>
    </row>
    <row r="109">
      <c r="A109" s="16" t="n"/>
      <c r="B109" s="14" t="n"/>
      <c r="C109" s="14" t="n"/>
      <c r="D109" s="14" t="n"/>
      <c r="E109" s="10">
        <f>IF(D109="","",IFERROR(VLOOKUP(D109,選品庫!A:D,4,FALSE),"找不到"))</f>
        <v/>
      </c>
      <c r="F109" s="14" t="n"/>
      <c r="G109" s="14" t="n"/>
      <c r="H109" s="8" t="n"/>
      <c r="I109" s="8" t="n"/>
      <c r="J109" s="14" t="n"/>
    </row>
    <row r="110">
      <c r="A110" s="16" t="n"/>
      <c r="B110" s="14" t="n"/>
      <c r="C110" s="14" t="n"/>
      <c r="D110" s="14" t="n"/>
      <c r="E110" s="10">
        <f>IF(D110="","",IFERROR(VLOOKUP(D110,選品庫!A:D,4,FALSE),"找不到"))</f>
        <v/>
      </c>
      <c r="F110" s="14" t="n"/>
      <c r="G110" s="14" t="n"/>
      <c r="H110" s="8" t="n"/>
      <c r="I110" s="8" t="n"/>
      <c r="J110" s="14" t="n"/>
    </row>
    <row r="111">
      <c r="A111" s="16" t="n"/>
      <c r="B111" s="14" t="n"/>
      <c r="C111" s="14" t="n"/>
      <c r="D111" s="14" t="n"/>
      <c r="E111" s="10">
        <f>IF(D111="","",IFERROR(VLOOKUP(D111,選品庫!A:D,4,FALSE),"找不到"))</f>
        <v/>
      </c>
      <c r="F111" s="14" t="n"/>
      <c r="G111" s="14" t="n"/>
      <c r="H111" s="8" t="n"/>
      <c r="I111" s="8" t="n"/>
      <c r="J111" s="14" t="n"/>
    </row>
    <row r="112">
      <c r="A112" s="16" t="n"/>
      <c r="B112" s="14" t="n"/>
      <c r="C112" s="14" t="n"/>
      <c r="D112" s="14" t="n"/>
      <c r="E112" s="10">
        <f>IF(D112="","",IFERROR(VLOOKUP(D112,選品庫!A:D,4,FALSE),"找不到"))</f>
        <v/>
      </c>
      <c r="F112" s="14" t="n"/>
      <c r="G112" s="14" t="n"/>
      <c r="H112" s="8" t="n"/>
      <c r="I112" s="8" t="n"/>
      <c r="J112" s="14" t="n"/>
    </row>
    <row r="113">
      <c r="A113" s="16" t="n"/>
      <c r="B113" s="14" t="n"/>
      <c r="C113" s="14" t="n"/>
      <c r="D113" s="14" t="n"/>
      <c r="E113" s="10">
        <f>IF(D113="","",IFERROR(VLOOKUP(D113,選品庫!A:D,4,FALSE),"找不到"))</f>
        <v/>
      </c>
      <c r="F113" s="14" t="n"/>
      <c r="G113" s="14" t="n"/>
      <c r="H113" s="8" t="n"/>
      <c r="I113" s="8" t="n"/>
      <c r="J113" s="14" t="n"/>
    </row>
    <row r="114">
      <c r="A114" s="16" t="n"/>
      <c r="B114" s="14" t="n"/>
      <c r="C114" s="14" t="n"/>
      <c r="D114" s="14" t="n"/>
      <c r="E114" s="10">
        <f>IF(D114="","",IFERROR(VLOOKUP(D114,選品庫!A:D,4,FALSE),"找不到"))</f>
        <v/>
      </c>
      <c r="F114" s="14" t="n"/>
      <c r="G114" s="14" t="n"/>
      <c r="H114" s="8" t="n"/>
      <c r="I114" s="8" t="n"/>
      <c r="J114" s="14" t="n"/>
    </row>
    <row r="115">
      <c r="A115" s="16" t="n"/>
      <c r="B115" s="14" t="n"/>
      <c r="C115" s="14" t="n"/>
      <c r="D115" s="14" t="n"/>
      <c r="E115" s="10">
        <f>IF(D115="","",IFERROR(VLOOKUP(D115,選品庫!A:D,4,FALSE),"找不到"))</f>
        <v/>
      </c>
      <c r="F115" s="14" t="n"/>
      <c r="G115" s="14" t="n"/>
      <c r="H115" s="8" t="n"/>
      <c r="I115" s="8" t="n"/>
      <c r="J115" s="14" t="n"/>
    </row>
    <row r="116">
      <c r="A116" s="16" t="n"/>
      <c r="B116" s="14" t="n"/>
      <c r="C116" s="14" t="n"/>
      <c r="D116" s="14" t="n"/>
      <c r="E116" s="10">
        <f>IF(D116="","",IFERROR(VLOOKUP(D116,選品庫!A:D,4,FALSE),"找不到"))</f>
        <v/>
      </c>
      <c r="F116" s="14" t="n"/>
      <c r="G116" s="14" t="n"/>
      <c r="H116" s="8" t="n"/>
      <c r="I116" s="8" t="n"/>
      <c r="J116" s="14" t="n"/>
    </row>
    <row r="117">
      <c r="A117" s="16" t="n"/>
      <c r="B117" s="14" t="n"/>
      <c r="C117" s="14" t="n"/>
      <c r="D117" s="14" t="n"/>
      <c r="E117" s="10">
        <f>IF(D117="","",IFERROR(VLOOKUP(D117,選品庫!A:D,4,FALSE),"找不到"))</f>
        <v/>
      </c>
      <c r="F117" s="14" t="n"/>
      <c r="G117" s="14" t="n"/>
      <c r="H117" s="8" t="n"/>
      <c r="I117" s="8" t="n"/>
      <c r="J117" s="14" t="n"/>
    </row>
    <row r="118">
      <c r="A118" s="16" t="n"/>
      <c r="B118" s="14" t="n"/>
      <c r="C118" s="14" t="n"/>
      <c r="D118" s="14" t="n"/>
      <c r="E118" s="10">
        <f>IF(D118="","",IFERROR(VLOOKUP(D118,選品庫!A:D,4,FALSE),"找不到"))</f>
        <v/>
      </c>
      <c r="F118" s="14" t="n"/>
      <c r="G118" s="14" t="n"/>
      <c r="H118" s="8" t="n"/>
      <c r="I118" s="8" t="n"/>
      <c r="J118" s="14" t="n"/>
    </row>
    <row r="119">
      <c r="A119" s="16" t="n"/>
      <c r="B119" s="14" t="n"/>
      <c r="C119" s="14" t="n"/>
      <c r="D119" s="14" t="n"/>
      <c r="E119" s="10">
        <f>IF(D119="","",IFERROR(VLOOKUP(D119,選品庫!A:D,4,FALSE),"找不到"))</f>
        <v/>
      </c>
      <c r="F119" s="14" t="n"/>
      <c r="G119" s="14" t="n"/>
      <c r="H119" s="8" t="n"/>
      <c r="I119" s="8" t="n"/>
      <c r="J119" s="14" t="n"/>
    </row>
    <row r="120">
      <c r="A120" s="16" t="n"/>
      <c r="B120" s="14" t="n"/>
      <c r="C120" s="14" t="n"/>
      <c r="D120" s="14" t="n"/>
      <c r="E120" s="10">
        <f>IF(D120="","",IFERROR(VLOOKUP(D120,選品庫!A:D,4,FALSE),"找不到"))</f>
        <v/>
      </c>
      <c r="F120" s="14" t="n"/>
      <c r="G120" s="14" t="n"/>
      <c r="H120" s="8" t="n"/>
      <c r="I120" s="8" t="n"/>
      <c r="J120" s="14" t="n"/>
    </row>
    <row r="121">
      <c r="A121" s="16" t="n"/>
      <c r="B121" s="14" t="n"/>
      <c r="C121" s="14" t="n"/>
      <c r="D121" s="14" t="n"/>
      <c r="E121" s="10">
        <f>IF(D121="","",IFERROR(VLOOKUP(D121,選品庫!A:D,4,FALSE),"找不到"))</f>
        <v/>
      </c>
      <c r="F121" s="14" t="n"/>
      <c r="G121" s="14" t="n"/>
      <c r="H121" s="8" t="n"/>
      <c r="I121" s="8" t="n"/>
      <c r="J121" s="14" t="n"/>
    </row>
    <row r="122">
      <c r="A122" s="16" t="n"/>
      <c r="B122" s="14" t="n"/>
      <c r="C122" s="14" t="n"/>
      <c r="D122" s="14" t="n"/>
      <c r="E122" s="10">
        <f>IF(D122="","",IFERROR(VLOOKUP(D122,選品庫!A:D,4,FALSE),"找不到"))</f>
        <v/>
      </c>
      <c r="F122" s="14" t="n"/>
      <c r="G122" s="14" t="n"/>
      <c r="H122" s="8" t="n"/>
      <c r="I122" s="8" t="n"/>
      <c r="J122" s="14" t="n"/>
    </row>
    <row r="123">
      <c r="A123" s="16" t="n"/>
      <c r="B123" s="14" t="n"/>
      <c r="C123" s="14" t="n"/>
      <c r="D123" s="14" t="n"/>
      <c r="E123" s="10">
        <f>IF(D123="","",IFERROR(VLOOKUP(D123,選品庫!A:D,4,FALSE),"找不到"))</f>
        <v/>
      </c>
      <c r="F123" s="14" t="n"/>
      <c r="G123" s="14" t="n"/>
      <c r="H123" s="8" t="n"/>
      <c r="I123" s="8" t="n"/>
      <c r="J123" s="14" t="n"/>
    </row>
    <row r="124">
      <c r="A124" s="16" t="n"/>
      <c r="B124" s="14" t="n"/>
      <c r="C124" s="14" t="n"/>
      <c r="D124" s="14" t="n"/>
      <c r="E124" s="10">
        <f>IF(D124="","",IFERROR(VLOOKUP(D124,選品庫!A:D,4,FALSE),"找不到"))</f>
        <v/>
      </c>
      <c r="F124" s="14" t="n"/>
      <c r="G124" s="14" t="n"/>
      <c r="H124" s="8" t="n"/>
      <c r="I124" s="8" t="n"/>
      <c r="J124" s="14" t="n"/>
    </row>
    <row r="125">
      <c r="A125" s="16" t="n"/>
      <c r="B125" s="14" t="n"/>
      <c r="C125" s="14" t="n"/>
      <c r="D125" s="14" t="n"/>
      <c r="E125" s="10">
        <f>IF(D125="","",IFERROR(VLOOKUP(D125,選品庫!A:D,4,FALSE),"找不到"))</f>
        <v/>
      </c>
      <c r="F125" s="14" t="n"/>
      <c r="G125" s="14" t="n"/>
      <c r="H125" s="8" t="n"/>
      <c r="I125" s="8" t="n"/>
      <c r="J125" s="14" t="n"/>
    </row>
    <row r="126">
      <c r="A126" s="16" t="n"/>
      <c r="B126" s="14" t="n"/>
      <c r="C126" s="14" t="n"/>
      <c r="D126" s="14" t="n"/>
      <c r="E126" s="10">
        <f>IF(D126="","",IFERROR(VLOOKUP(D126,選品庫!A:D,4,FALSE),"找不到"))</f>
        <v/>
      </c>
      <c r="F126" s="14" t="n"/>
      <c r="G126" s="14" t="n"/>
      <c r="H126" s="8" t="n"/>
      <c r="I126" s="8" t="n"/>
      <c r="J126" s="14" t="n"/>
    </row>
    <row r="127">
      <c r="A127" s="16" t="n"/>
      <c r="B127" s="14" t="n"/>
      <c r="C127" s="14" t="n"/>
      <c r="D127" s="14" t="n"/>
      <c r="E127" s="10">
        <f>IF(D127="","",IFERROR(VLOOKUP(D127,選品庫!A:D,4,FALSE),"找不到"))</f>
        <v/>
      </c>
      <c r="F127" s="14" t="n"/>
      <c r="G127" s="14" t="n"/>
      <c r="H127" s="8" t="n"/>
      <c r="I127" s="8" t="n"/>
      <c r="J127" s="14" t="n"/>
    </row>
    <row r="128">
      <c r="A128" s="16" t="n"/>
      <c r="B128" s="14" t="n"/>
      <c r="C128" s="14" t="n"/>
      <c r="D128" s="14" t="n"/>
      <c r="E128" s="10">
        <f>IF(D128="","",IFERROR(VLOOKUP(D128,選品庫!A:D,4,FALSE),"找不到"))</f>
        <v/>
      </c>
      <c r="F128" s="14" t="n"/>
      <c r="G128" s="14" t="n"/>
      <c r="H128" s="8" t="n"/>
      <c r="I128" s="8" t="n"/>
      <c r="J128" s="14" t="n"/>
    </row>
    <row r="129">
      <c r="A129" s="16" t="n"/>
      <c r="B129" s="14" t="n"/>
      <c r="C129" s="14" t="n"/>
      <c r="D129" s="14" t="n"/>
      <c r="E129" s="10">
        <f>IF(D129="","",IFERROR(VLOOKUP(D129,選品庫!A:D,4,FALSE),"找不到"))</f>
        <v/>
      </c>
      <c r="F129" s="14" t="n"/>
      <c r="G129" s="14" t="n"/>
      <c r="H129" s="8" t="n"/>
      <c r="I129" s="8" t="n"/>
      <c r="J129" s="14" t="n"/>
    </row>
    <row r="130">
      <c r="A130" s="16" t="n"/>
      <c r="B130" s="14" t="n"/>
      <c r="C130" s="14" t="n"/>
      <c r="D130" s="14" t="n"/>
      <c r="E130" s="10">
        <f>IF(D130="","",IFERROR(VLOOKUP(D130,選品庫!A:D,4,FALSE),"找不到"))</f>
        <v/>
      </c>
      <c r="F130" s="14" t="n"/>
      <c r="G130" s="14" t="n"/>
      <c r="H130" s="8" t="n"/>
      <c r="I130" s="8" t="n"/>
      <c r="J130" s="14" t="n"/>
    </row>
    <row r="131">
      <c r="A131" s="16" t="n"/>
      <c r="B131" s="14" t="n"/>
      <c r="C131" s="14" t="n"/>
      <c r="D131" s="14" t="n"/>
      <c r="E131" s="10">
        <f>IF(D131="","",IFERROR(VLOOKUP(D131,選品庫!A:D,4,FALSE),"找不到"))</f>
        <v/>
      </c>
      <c r="F131" s="14" t="n"/>
      <c r="G131" s="14" t="n"/>
      <c r="H131" s="8" t="n"/>
      <c r="I131" s="8" t="n"/>
      <c r="J131" s="14" t="n"/>
    </row>
    <row r="132">
      <c r="A132" s="16" t="n"/>
      <c r="B132" s="14" t="n"/>
      <c r="C132" s="14" t="n"/>
      <c r="D132" s="14" t="n"/>
      <c r="E132" s="10">
        <f>IF(D132="","",IFERROR(VLOOKUP(D132,選品庫!A:D,4,FALSE),"找不到"))</f>
        <v/>
      </c>
      <c r="F132" s="14" t="n"/>
      <c r="G132" s="14" t="n"/>
      <c r="H132" s="8" t="n"/>
      <c r="I132" s="8" t="n"/>
      <c r="J132" s="14" t="n"/>
    </row>
    <row r="133">
      <c r="A133" s="16" t="n"/>
      <c r="B133" s="14" t="n"/>
      <c r="C133" s="14" t="n"/>
      <c r="D133" s="14" t="n"/>
      <c r="E133" s="10">
        <f>IF(D133="","",IFERROR(VLOOKUP(D133,選品庫!A:D,4,FALSE),"找不到"))</f>
        <v/>
      </c>
      <c r="F133" s="14" t="n"/>
      <c r="G133" s="14" t="n"/>
      <c r="H133" s="8" t="n"/>
      <c r="I133" s="8" t="n"/>
      <c r="J133" s="14" t="n"/>
    </row>
    <row r="134">
      <c r="A134" s="16" t="n"/>
      <c r="B134" s="14" t="n"/>
      <c r="C134" s="14" t="n"/>
      <c r="D134" s="14" t="n"/>
      <c r="E134" s="10">
        <f>IF(D134="","",IFERROR(VLOOKUP(D134,選品庫!A:D,4,FALSE),"找不到"))</f>
        <v/>
      </c>
      <c r="F134" s="14" t="n"/>
      <c r="G134" s="14" t="n"/>
      <c r="H134" s="8" t="n"/>
      <c r="I134" s="8" t="n"/>
      <c r="J134" s="14" t="n"/>
    </row>
    <row r="135">
      <c r="A135" s="16" t="n"/>
      <c r="B135" s="14" t="n"/>
      <c r="C135" s="14" t="n"/>
      <c r="D135" s="14" t="n"/>
      <c r="E135" s="10">
        <f>IF(D135="","",IFERROR(VLOOKUP(D135,選品庫!A:D,4,FALSE),"找不到"))</f>
        <v/>
      </c>
      <c r="F135" s="14" t="n"/>
      <c r="G135" s="14" t="n"/>
      <c r="H135" s="8" t="n"/>
      <c r="I135" s="8" t="n"/>
      <c r="J135" s="14" t="n"/>
    </row>
    <row r="136">
      <c r="A136" s="16" t="n"/>
      <c r="B136" s="14" t="n"/>
      <c r="C136" s="14" t="n"/>
      <c r="D136" s="14" t="n"/>
      <c r="E136" s="10">
        <f>IF(D136="","",IFERROR(VLOOKUP(D136,選品庫!A:D,4,FALSE),"找不到"))</f>
        <v/>
      </c>
      <c r="F136" s="14" t="n"/>
      <c r="G136" s="14" t="n"/>
      <c r="H136" s="8" t="n"/>
      <c r="I136" s="8" t="n"/>
      <c r="J136" s="14" t="n"/>
    </row>
    <row r="137">
      <c r="A137" s="16" t="n"/>
      <c r="B137" s="14" t="n"/>
      <c r="C137" s="14" t="n"/>
      <c r="D137" s="14" t="n"/>
      <c r="E137" s="10">
        <f>IF(D137="","",IFERROR(VLOOKUP(D137,選品庫!A:D,4,FALSE),"找不到"))</f>
        <v/>
      </c>
      <c r="F137" s="14" t="n"/>
      <c r="G137" s="14" t="n"/>
      <c r="H137" s="8" t="n"/>
      <c r="I137" s="8" t="n"/>
      <c r="J137" s="14" t="n"/>
    </row>
    <row r="138">
      <c r="A138" s="16" t="n"/>
      <c r="B138" s="14" t="n"/>
      <c r="C138" s="14" t="n"/>
      <c r="D138" s="14" t="n"/>
      <c r="E138" s="10">
        <f>IF(D138="","",IFERROR(VLOOKUP(D138,選品庫!A:D,4,FALSE),"找不到"))</f>
        <v/>
      </c>
      <c r="F138" s="14" t="n"/>
      <c r="G138" s="14" t="n"/>
      <c r="H138" s="8" t="n"/>
      <c r="I138" s="8" t="n"/>
      <c r="J138" s="14" t="n"/>
    </row>
    <row r="139">
      <c r="A139" s="16" t="n"/>
      <c r="B139" s="14" t="n"/>
      <c r="C139" s="14" t="n"/>
      <c r="D139" s="14" t="n"/>
      <c r="E139" s="10">
        <f>IF(D139="","",IFERROR(VLOOKUP(D139,選品庫!A:D,4,FALSE),"找不到"))</f>
        <v/>
      </c>
      <c r="F139" s="14" t="n"/>
      <c r="G139" s="14" t="n"/>
      <c r="H139" s="8" t="n"/>
      <c r="I139" s="8" t="n"/>
      <c r="J139" s="14" t="n"/>
    </row>
    <row r="140">
      <c r="A140" s="16" t="n"/>
      <c r="B140" s="14" t="n"/>
      <c r="C140" s="14" t="n"/>
      <c r="D140" s="14" t="n"/>
      <c r="E140" s="10">
        <f>IF(D140="","",IFERROR(VLOOKUP(D140,選品庫!A:D,4,FALSE),"找不到"))</f>
        <v/>
      </c>
      <c r="F140" s="14" t="n"/>
      <c r="G140" s="14" t="n"/>
      <c r="H140" s="8" t="n"/>
      <c r="I140" s="8" t="n"/>
      <c r="J140" s="14" t="n"/>
    </row>
    <row r="141">
      <c r="A141" s="16" t="n"/>
      <c r="B141" s="14" t="n"/>
      <c r="C141" s="14" t="n"/>
      <c r="D141" s="14" t="n"/>
      <c r="E141" s="10">
        <f>IF(D141="","",IFERROR(VLOOKUP(D141,選品庫!A:D,4,FALSE),"找不到"))</f>
        <v/>
      </c>
      <c r="F141" s="14" t="n"/>
      <c r="G141" s="14" t="n"/>
      <c r="H141" s="8" t="n"/>
      <c r="I141" s="8" t="n"/>
      <c r="J141" s="14" t="n"/>
    </row>
    <row r="142">
      <c r="A142" s="16" t="n"/>
      <c r="B142" s="14" t="n"/>
      <c r="C142" s="14" t="n"/>
      <c r="D142" s="14" t="n"/>
      <c r="E142" s="10">
        <f>IF(D142="","",IFERROR(VLOOKUP(D142,選品庫!A:D,4,FALSE),"找不到"))</f>
        <v/>
      </c>
      <c r="F142" s="14" t="n"/>
      <c r="G142" s="14" t="n"/>
      <c r="H142" s="8" t="n"/>
      <c r="I142" s="8" t="n"/>
      <c r="J142" s="14" t="n"/>
    </row>
    <row r="143">
      <c r="A143" s="16" t="n"/>
      <c r="B143" s="14" t="n"/>
      <c r="C143" s="14" t="n"/>
      <c r="D143" s="14" t="n"/>
      <c r="E143" s="10">
        <f>IF(D143="","",IFERROR(VLOOKUP(D143,選品庫!A:D,4,FALSE),"找不到"))</f>
        <v/>
      </c>
      <c r="F143" s="14" t="n"/>
      <c r="G143" s="14" t="n"/>
      <c r="H143" s="8" t="n"/>
      <c r="I143" s="8" t="n"/>
      <c r="J143" s="14" t="n"/>
    </row>
    <row r="144">
      <c r="A144" s="16" t="n"/>
      <c r="B144" s="14" t="n"/>
      <c r="C144" s="14" t="n"/>
      <c r="D144" s="14" t="n"/>
      <c r="E144" s="10">
        <f>IF(D144="","",IFERROR(VLOOKUP(D144,選品庫!A:D,4,FALSE),"找不到"))</f>
        <v/>
      </c>
      <c r="F144" s="14" t="n"/>
      <c r="G144" s="14" t="n"/>
      <c r="H144" s="8" t="n"/>
      <c r="I144" s="8" t="n"/>
      <c r="J144" s="14" t="n"/>
    </row>
    <row r="145">
      <c r="A145" s="16" t="n"/>
      <c r="B145" s="14" t="n"/>
      <c r="C145" s="14" t="n"/>
      <c r="D145" s="14" t="n"/>
      <c r="E145" s="10">
        <f>IF(D145="","",IFERROR(VLOOKUP(D145,選品庫!A:D,4,FALSE),"找不到"))</f>
        <v/>
      </c>
      <c r="F145" s="14" t="n"/>
      <c r="G145" s="14" t="n"/>
      <c r="H145" s="8" t="n"/>
      <c r="I145" s="8" t="n"/>
      <c r="J145" s="14" t="n"/>
    </row>
    <row r="146">
      <c r="A146" s="16" t="n"/>
      <c r="B146" s="14" t="n"/>
      <c r="C146" s="14" t="n"/>
      <c r="D146" s="14" t="n"/>
      <c r="E146" s="10">
        <f>IF(D146="","",IFERROR(VLOOKUP(D146,選品庫!A:D,4,FALSE),"找不到"))</f>
        <v/>
      </c>
      <c r="F146" s="14" t="n"/>
      <c r="G146" s="14" t="n"/>
      <c r="H146" s="8" t="n"/>
      <c r="I146" s="8" t="n"/>
      <c r="J146" s="14" t="n"/>
    </row>
    <row r="147">
      <c r="A147" s="16" t="n"/>
      <c r="B147" s="14" t="n"/>
      <c r="C147" s="14" t="n"/>
      <c r="D147" s="14" t="n"/>
      <c r="E147" s="10">
        <f>IF(D147="","",IFERROR(VLOOKUP(D147,選品庫!A:D,4,FALSE),"找不到"))</f>
        <v/>
      </c>
      <c r="F147" s="14" t="n"/>
      <c r="G147" s="14" t="n"/>
      <c r="H147" s="8" t="n"/>
      <c r="I147" s="8" t="n"/>
      <c r="J147" s="14" t="n"/>
    </row>
    <row r="148">
      <c r="A148" s="16" t="n"/>
      <c r="B148" s="14" t="n"/>
      <c r="C148" s="14" t="n"/>
      <c r="D148" s="14" t="n"/>
      <c r="E148" s="10">
        <f>IF(D148="","",IFERROR(VLOOKUP(D148,選品庫!A:D,4,FALSE),"找不到"))</f>
        <v/>
      </c>
      <c r="F148" s="14" t="n"/>
      <c r="G148" s="14" t="n"/>
      <c r="H148" s="8" t="n"/>
      <c r="I148" s="8" t="n"/>
      <c r="J148" s="14" t="n"/>
    </row>
    <row r="149">
      <c r="A149" s="16" t="n"/>
      <c r="B149" s="14" t="n"/>
      <c r="C149" s="14" t="n"/>
      <c r="D149" s="14" t="n"/>
      <c r="E149" s="10">
        <f>IF(D149="","",IFERROR(VLOOKUP(D149,選品庫!A:D,4,FALSE),"找不到"))</f>
        <v/>
      </c>
      <c r="F149" s="14" t="n"/>
      <c r="G149" s="14" t="n"/>
      <c r="H149" s="8" t="n"/>
      <c r="I149" s="8" t="n"/>
      <c r="J149" s="14" t="n"/>
    </row>
    <row r="150">
      <c r="A150" s="16" t="n"/>
      <c r="B150" s="14" t="n"/>
      <c r="C150" s="14" t="n"/>
      <c r="D150" s="14" t="n"/>
      <c r="E150" s="10">
        <f>IF(D150="","",IFERROR(VLOOKUP(D150,選品庫!A:D,4,FALSE),"找不到"))</f>
        <v/>
      </c>
      <c r="F150" s="14" t="n"/>
      <c r="G150" s="14" t="n"/>
      <c r="H150" s="8" t="n"/>
      <c r="I150" s="8" t="n"/>
      <c r="J150" s="14" t="n"/>
    </row>
    <row r="151">
      <c r="A151" s="16" t="n"/>
      <c r="B151" s="14" t="n"/>
      <c r="C151" s="14" t="n"/>
      <c r="D151" s="14" t="n"/>
      <c r="E151" s="10">
        <f>IF(D151="","",IFERROR(VLOOKUP(D151,選品庫!A:D,4,FALSE),"找不到"))</f>
        <v/>
      </c>
      <c r="F151" s="14" t="n"/>
      <c r="G151" s="14" t="n"/>
      <c r="H151" s="8" t="n"/>
      <c r="I151" s="8" t="n"/>
      <c r="J151" s="14" t="n"/>
    </row>
    <row r="152">
      <c r="A152" s="16" t="n"/>
      <c r="B152" s="14" t="n"/>
      <c r="C152" s="14" t="n"/>
      <c r="D152" s="14" t="n"/>
      <c r="E152" s="10">
        <f>IF(D152="","",IFERROR(VLOOKUP(D152,選品庫!A:D,4,FALSE),"找不到"))</f>
        <v/>
      </c>
      <c r="F152" s="14" t="n"/>
      <c r="G152" s="14" t="n"/>
      <c r="H152" s="8" t="n"/>
      <c r="I152" s="8" t="n"/>
      <c r="J152" s="14" t="n"/>
    </row>
    <row r="153">
      <c r="A153" s="16" t="n"/>
      <c r="B153" s="14" t="n"/>
      <c r="C153" s="14" t="n"/>
      <c r="D153" s="14" t="n"/>
      <c r="E153" s="10">
        <f>IF(D153="","",IFERROR(VLOOKUP(D153,選品庫!A:D,4,FALSE),"找不到"))</f>
        <v/>
      </c>
      <c r="F153" s="14" t="n"/>
      <c r="G153" s="14" t="n"/>
      <c r="H153" s="8" t="n"/>
      <c r="I153" s="8" t="n"/>
      <c r="J153" s="14" t="n"/>
    </row>
    <row r="154">
      <c r="A154" s="16" t="n"/>
      <c r="B154" s="14" t="n"/>
      <c r="C154" s="14" t="n"/>
      <c r="D154" s="14" t="n"/>
      <c r="E154" s="10">
        <f>IF(D154="","",IFERROR(VLOOKUP(D154,選品庫!A:D,4,FALSE),"找不到"))</f>
        <v/>
      </c>
      <c r="F154" s="14" t="n"/>
      <c r="G154" s="14" t="n"/>
      <c r="H154" s="8" t="n"/>
      <c r="I154" s="8" t="n"/>
      <c r="J154" s="14" t="n"/>
    </row>
    <row r="155">
      <c r="A155" s="16" t="n"/>
      <c r="B155" s="14" t="n"/>
      <c r="C155" s="14" t="n"/>
      <c r="D155" s="14" t="n"/>
      <c r="E155" s="10">
        <f>IF(D155="","",IFERROR(VLOOKUP(D155,選品庫!A:D,4,FALSE),"找不到"))</f>
        <v/>
      </c>
      <c r="F155" s="14" t="n"/>
      <c r="G155" s="14" t="n"/>
      <c r="H155" s="8" t="n"/>
      <c r="I155" s="8" t="n"/>
      <c r="J155" s="14" t="n"/>
    </row>
    <row r="156">
      <c r="A156" s="16" t="n"/>
      <c r="B156" s="14" t="n"/>
      <c r="C156" s="14" t="n"/>
      <c r="D156" s="14" t="n"/>
      <c r="E156" s="10">
        <f>IF(D156="","",IFERROR(VLOOKUP(D156,選品庫!A:D,4,FALSE),"找不到"))</f>
        <v/>
      </c>
      <c r="F156" s="14" t="n"/>
      <c r="G156" s="14" t="n"/>
      <c r="H156" s="8" t="n"/>
      <c r="I156" s="8" t="n"/>
      <c r="J156" s="14" t="n"/>
    </row>
    <row r="157">
      <c r="A157" s="16" t="n"/>
      <c r="B157" s="14" t="n"/>
      <c r="C157" s="14" t="n"/>
      <c r="D157" s="14" t="n"/>
      <c r="E157" s="10">
        <f>IF(D157="","",IFERROR(VLOOKUP(D157,選品庫!A:D,4,FALSE),"找不到"))</f>
        <v/>
      </c>
      <c r="F157" s="14" t="n"/>
      <c r="G157" s="14" t="n"/>
      <c r="H157" s="8" t="n"/>
      <c r="I157" s="8" t="n"/>
      <c r="J157" s="14" t="n"/>
    </row>
    <row r="158">
      <c r="A158" s="16" t="n"/>
      <c r="B158" s="14" t="n"/>
      <c r="C158" s="14" t="n"/>
      <c r="D158" s="14" t="n"/>
      <c r="E158" s="10">
        <f>IF(D158="","",IFERROR(VLOOKUP(D158,選品庫!A:D,4,FALSE),"找不到"))</f>
        <v/>
      </c>
      <c r="F158" s="14" t="n"/>
      <c r="G158" s="14" t="n"/>
      <c r="H158" s="8" t="n"/>
      <c r="I158" s="8" t="n"/>
      <c r="J158" s="14" t="n"/>
    </row>
    <row r="159">
      <c r="A159" s="16" t="n"/>
      <c r="B159" s="14" t="n"/>
      <c r="C159" s="14" t="n"/>
      <c r="D159" s="14" t="n"/>
      <c r="E159" s="10">
        <f>IF(D159="","",IFERROR(VLOOKUP(D159,選品庫!A:D,4,FALSE),"找不到"))</f>
        <v/>
      </c>
      <c r="F159" s="14" t="n"/>
      <c r="G159" s="14" t="n"/>
      <c r="H159" s="8" t="n"/>
      <c r="I159" s="8" t="n"/>
      <c r="J159" s="14" t="n"/>
    </row>
    <row r="160">
      <c r="A160" s="16" t="n"/>
      <c r="B160" s="14" t="n"/>
      <c r="C160" s="14" t="n"/>
      <c r="D160" s="14" t="n"/>
      <c r="E160" s="10">
        <f>IF(D160="","",IFERROR(VLOOKUP(D160,選品庫!A:D,4,FALSE),"找不到"))</f>
        <v/>
      </c>
      <c r="F160" s="14" t="n"/>
      <c r="G160" s="14" t="n"/>
      <c r="H160" s="8" t="n"/>
      <c r="I160" s="8" t="n"/>
      <c r="J160" s="14" t="n"/>
    </row>
    <row r="161">
      <c r="A161" s="16" t="n"/>
      <c r="B161" s="14" t="n"/>
      <c r="C161" s="14" t="n"/>
      <c r="D161" s="14" t="n"/>
      <c r="E161" s="10">
        <f>IF(D161="","",IFERROR(VLOOKUP(D161,選品庫!A:D,4,FALSE),"找不到"))</f>
        <v/>
      </c>
      <c r="F161" s="14" t="n"/>
      <c r="G161" s="14" t="n"/>
      <c r="H161" s="8" t="n"/>
      <c r="I161" s="8" t="n"/>
      <c r="J161" s="14" t="n"/>
    </row>
    <row r="162">
      <c r="A162" s="16" t="n"/>
      <c r="B162" s="14" t="n"/>
      <c r="C162" s="14" t="n"/>
      <c r="D162" s="14" t="n"/>
      <c r="E162" s="10">
        <f>IF(D162="","",IFERROR(VLOOKUP(D162,選品庫!A:D,4,FALSE),"找不到"))</f>
        <v/>
      </c>
      <c r="F162" s="14" t="n"/>
      <c r="G162" s="14" t="n"/>
      <c r="H162" s="8" t="n"/>
      <c r="I162" s="8" t="n"/>
      <c r="J162" s="14" t="n"/>
    </row>
    <row r="163">
      <c r="A163" s="16" t="n"/>
      <c r="B163" s="14" t="n"/>
      <c r="C163" s="14" t="n"/>
      <c r="D163" s="14" t="n"/>
      <c r="E163" s="10">
        <f>IF(D163="","",IFERROR(VLOOKUP(D163,選品庫!A:D,4,FALSE),"找不到"))</f>
        <v/>
      </c>
      <c r="F163" s="14" t="n"/>
      <c r="G163" s="14" t="n"/>
      <c r="H163" s="8" t="n"/>
      <c r="I163" s="8" t="n"/>
      <c r="J163" s="14" t="n"/>
    </row>
    <row r="164">
      <c r="A164" s="16" t="n"/>
      <c r="B164" s="14" t="n"/>
      <c r="C164" s="14" t="n"/>
      <c r="D164" s="14" t="n"/>
      <c r="E164" s="10">
        <f>IF(D164="","",IFERROR(VLOOKUP(D164,選品庫!A:D,4,FALSE),"找不到"))</f>
        <v/>
      </c>
      <c r="F164" s="14" t="n"/>
      <c r="G164" s="14" t="n"/>
      <c r="H164" s="8" t="n"/>
      <c r="I164" s="8" t="n"/>
      <c r="J164" s="14" t="n"/>
    </row>
    <row r="165">
      <c r="A165" s="16" t="n"/>
      <c r="B165" s="14" t="n"/>
      <c r="C165" s="14" t="n"/>
      <c r="D165" s="14" t="n"/>
      <c r="E165" s="10">
        <f>IF(D165="","",IFERROR(VLOOKUP(D165,選品庫!A:D,4,FALSE),"找不到"))</f>
        <v/>
      </c>
      <c r="F165" s="14" t="n"/>
      <c r="G165" s="14" t="n"/>
      <c r="H165" s="8" t="n"/>
      <c r="I165" s="8" t="n"/>
      <c r="J165" s="14" t="n"/>
    </row>
    <row r="166">
      <c r="A166" s="16" t="n"/>
      <c r="B166" s="14" t="n"/>
      <c r="C166" s="14" t="n"/>
      <c r="D166" s="14" t="n"/>
      <c r="E166" s="10">
        <f>IF(D166="","",IFERROR(VLOOKUP(D166,選品庫!A:D,4,FALSE),"找不到"))</f>
        <v/>
      </c>
      <c r="F166" s="14" t="n"/>
      <c r="G166" s="14" t="n"/>
      <c r="H166" s="8" t="n"/>
      <c r="I166" s="8" t="n"/>
      <c r="J166" s="14" t="n"/>
    </row>
    <row r="167">
      <c r="A167" s="16" t="n"/>
      <c r="B167" s="14" t="n"/>
      <c r="C167" s="14" t="n"/>
      <c r="D167" s="14" t="n"/>
      <c r="E167" s="10">
        <f>IF(D167="","",IFERROR(VLOOKUP(D167,選品庫!A:D,4,FALSE),"找不到"))</f>
        <v/>
      </c>
      <c r="F167" s="14" t="n"/>
      <c r="G167" s="14" t="n"/>
      <c r="H167" s="8" t="n"/>
      <c r="I167" s="8" t="n"/>
      <c r="J167" s="14" t="n"/>
    </row>
    <row r="168">
      <c r="A168" s="16" t="n"/>
      <c r="B168" s="14" t="n"/>
      <c r="C168" s="14" t="n"/>
      <c r="D168" s="14" t="n"/>
      <c r="E168" s="10">
        <f>IF(D168="","",IFERROR(VLOOKUP(D168,選品庫!A:D,4,FALSE),"找不到"))</f>
        <v/>
      </c>
      <c r="F168" s="14" t="n"/>
      <c r="G168" s="14" t="n"/>
      <c r="H168" s="8" t="n"/>
      <c r="I168" s="8" t="n"/>
      <c r="J168" s="14" t="n"/>
    </row>
    <row r="169">
      <c r="A169" s="16" t="n"/>
      <c r="B169" s="14" t="n"/>
      <c r="C169" s="14" t="n"/>
      <c r="D169" s="14" t="n"/>
      <c r="E169" s="10">
        <f>IF(D169="","",IFERROR(VLOOKUP(D169,選品庫!A:D,4,FALSE),"找不到"))</f>
        <v/>
      </c>
      <c r="F169" s="14" t="n"/>
      <c r="G169" s="14" t="n"/>
      <c r="H169" s="8" t="n"/>
      <c r="I169" s="8" t="n"/>
      <c r="J169" s="14" t="n"/>
    </row>
    <row r="170">
      <c r="A170" s="16" t="n"/>
      <c r="B170" s="14" t="n"/>
      <c r="C170" s="14" t="n"/>
      <c r="D170" s="14" t="n"/>
      <c r="E170" s="10">
        <f>IF(D170="","",IFERROR(VLOOKUP(D170,選品庫!A:D,4,FALSE),"找不到"))</f>
        <v/>
      </c>
      <c r="F170" s="14" t="n"/>
      <c r="G170" s="14" t="n"/>
      <c r="H170" s="8" t="n"/>
      <c r="I170" s="8" t="n"/>
      <c r="J170" s="14" t="n"/>
    </row>
    <row r="171">
      <c r="A171" s="16" t="n"/>
      <c r="B171" s="14" t="n"/>
      <c r="C171" s="14" t="n"/>
      <c r="D171" s="14" t="n"/>
      <c r="E171" s="10">
        <f>IF(D171="","",IFERROR(VLOOKUP(D171,選品庫!A:D,4,FALSE),"找不到"))</f>
        <v/>
      </c>
      <c r="F171" s="14" t="n"/>
      <c r="G171" s="14" t="n"/>
      <c r="H171" s="8" t="n"/>
      <c r="I171" s="8" t="n"/>
      <c r="J171" s="14" t="n"/>
    </row>
    <row r="172">
      <c r="A172" s="16" t="n"/>
      <c r="B172" s="14" t="n"/>
      <c r="C172" s="14" t="n"/>
      <c r="D172" s="14" t="n"/>
      <c r="E172" s="10">
        <f>IF(D172="","",IFERROR(VLOOKUP(D172,選品庫!A:D,4,FALSE),"找不到"))</f>
        <v/>
      </c>
      <c r="F172" s="14" t="n"/>
      <c r="G172" s="14" t="n"/>
      <c r="H172" s="8" t="n"/>
      <c r="I172" s="8" t="n"/>
      <c r="J172" s="14" t="n"/>
    </row>
    <row r="173">
      <c r="A173" s="16" t="n"/>
      <c r="B173" s="14" t="n"/>
      <c r="C173" s="14" t="n"/>
      <c r="D173" s="14" t="n"/>
      <c r="E173" s="10">
        <f>IF(D173="","",IFERROR(VLOOKUP(D173,選品庫!A:D,4,FALSE),"找不到"))</f>
        <v/>
      </c>
      <c r="F173" s="14" t="n"/>
      <c r="G173" s="14" t="n"/>
      <c r="H173" s="8" t="n"/>
      <c r="I173" s="8" t="n"/>
      <c r="J173" s="14" t="n"/>
    </row>
    <row r="174">
      <c r="A174" s="16" t="n"/>
      <c r="B174" s="14" t="n"/>
      <c r="C174" s="14" t="n"/>
      <c r="D174" s="14" t="n"/>
      <c r="E174" s="10">
        <f>IF(D174="","",IFERROR(VLOOKUP(D174,選品庫!A:D,4,FALSE),"找不到"))</f>
        <v/>
      </c>
      <c r="F174" s="14" t="n"/>
      <c r="G174" s="14" t="n"/>
      <c r="H174" s="8" t="n"/>
      <c r="I174" s="8" t="n"/>
      <c r="J174" s="14" t="n"/>
    </row>
    <row r="175">
      <c r="A175" s="16" t="n"/>
      <c r="B175" s="14" t="n"/>
      <c r="C175" s="14" t="n"/>
      <c r="D175" s="14" t="n"/>
      <c r="E175" s="10">
        <f>IF(D175="","",IFERROR(VLOOKUP(D175,選品庫!A:D,4,FALSE),"找不到"))</f>
        <v/>
      </c>
      <c r="F175" s="14" t="n"/>
      <c r="G175" s="14" t="n"/>
      <c r="H175" s="8" t="n"/>
      <c r="I175" s="8" t="n"/>
      <c r="J175" s="14" t="n"/>
    </row>
    <row r="176">
      <c r="A176" s="16" t="n"/>
      <c r="B176" s="14" t="n"/>
      <c r="C176" s="14" t="n"/>
      <c r="D176" s="14" t="n"/>
      <c r="E176" s="10">
        <f>IF(D176="","",IFERROR(VLOOKUP(D176,選品庫!A:D,4,FALSE),"找不到"))</f>
        <v/>
      </c>
      <c r="F176" s="14" t="n"/>
      <c r="G176" s="14" t="n"/>
      <c r="H176" s="8" t="n"/>
      <c r="I176" s="8" t="n"/>
      <c r="J176" s="14" t="n"/>
    </row>
    <row r="177">
      <c r="A177" s="16" t="n"/>
      <c r="B177" s="14" t="n"/>
      <c r="C177" s="14" t="n"/>
      <c r="D177" s="14" t="n"/>
      <c r="E177" s="10">
        <f>IF(D177="","",IFERROR(VLOOKUP(D177,選品庫!A:D,4,FALSE),"找不到"))</f>
        <v/>
      </c>
      <c r="F177" s="14" t="n"/>
      <c r="G177" s="14" t="n"/>
      <c r="H177" s="8" t="n"/>
      <c r="I177" s="8" t="n"/>
      <c r="J177" s="14" t="n"/>
    </row>
    <row r="178">
      <c r="A178" s="16" t="n"/>
      <c r="B178" s="14" t="n"/>
      <c r="C178" s="14" t="n"/>
      <c r="D178" s="14" t="n"/>
      <c r="E178" s="10">
        <f>IF(D178="","",IFERROR(VLOOKUP(D178,選品庫!A:D,4,FALSE),"找不到"))</f>
        <v/>
      </c>
      <c r="F178" s="14" t="n"/>
      <c r="G178" s="14" t="n"/>
      <c r="H178" s="8" t="n"/>
      <c r="I178" s="8" t="n"/>
      <c r="J178" s="14" t="n"/>
    </row>
    <row r="179">
      <c r="A179" s="16" t="n"/>
      <c r="B179" s="14" t="n"/>
      <c r="C179" s="14" t="n"/>
      <c r="D179" s="14" t="n"/>
      <c r="E179" s="10">
        <f>IF(D179="","",IFERROR(VLOOKUP(D179,選品庫!A:D,4,FALSE),"找不到"))</f>
        <v/>
      </c>
      <c r="F179" s="14" t="n"/>
      <c r="G179" s="14" t="n"/>
      <c r="H179" s="8" t="n"/>
      <c r="I179" s="8" t="n"/>
      <c r="J179" s="14" t="n"/>
    </row>
    <row r="180">
      <c r="A180" s="16" t="n"/>
      <c r="B180" s="14" t="n"/>
      <c r="C180" s="14" t="n"/>
      <c r="D180" s="14" t="n"/>
      <c r="E180" s="10">
        <f>IF(D180="","",IFERROR(VLOOKUP(D180,選品庫!A:D,4,FALSE),"找不到"))</f>
        <v/>
      </c>
      <c r="F180" s="14" t="n"/>
      <c r="G180" s="14" t="n"/>
      <c r="H180" s="8" t="n"/>
      <c r="I180" s="8" t="n"/>
      <c r="J180" s="14" t="n"/>
    </row>
    <row r="181">
      <c r="A181" s="16" t="n"/>
      <c r="B181" s="14" t="n"/>
      <c r="C181" s="14" t="n"/>
      <c r="D181" s="14" t="n"/>
      <c r="E181" s="10">
        <f>IF(D181="","",IFERROR(VLOOKUP(D181,選品庫!A:D,4,FALSE),"找不到"))</f>
        <v/>
      </c>
      <c r="F181" s="14" t="n"/>
      <c r="G181" s="14" t="n"/>
      <c r="H181" s="8" t="n"/>
      <c r="I181" s="8" t="n"/>
      <c r="J181" s="14" t="n"/>
    </row>
    <row r="182">
      <c r="A182" s="16" t="n"/>
      <c r="B182" s="14" t="n"/>
      <c r="C182" s="14" t="n"/>
      <c r="D182" s="14" t="n"/>
      <c r="E182" s="10">
        <f>IF(D182="","",IFERROR(VLOOKUP(D182,選品庫!A:D,4,FALSE),"找不到"))</f>
        <v/>
      </c>
      <c r="F182" s="14" t="n"/>
      <c r="G182" s="14" t="n"/>
      <c r="H182" s="8" t="n"/>
      <c r="I182" s="8" t="n"/>
      <c r="J182" s="14" t="n"/>
    </row>
    <row r="183">
      <c r="A183" s="16" t="n"/>
      <c r="B183" s="14" t="n"/>
      <c r="C183" s="14" t="n"/>
      <c r="D183" s="14" t="n"/>
      <c r="E183" s="10">
        <f>IF(D183="","",IFERROR(VLOOKUP(D183,選品庫!A:D,4,FALSE),"找不到"))</f>
        <v/>
      </c>
      <c r="F183" s="14" t="n"/>
      <c r="G183" s="14" t="n"/>
      <c r="H183" s="8" t="n"/>
      <c r="I183" s="8" t="n"/>
      <c r="J183" s="14" t="n"/>
    </row>
    <row r="184">
      <c r="A184" s="16" t="n"/>
      <c r="B184" s="14" t="n"/>
      <c r="C184" s="14" t="n"/>
      <c r="D184" s="14" t="n"/>
      <c r="E184" s="10">
        <f>IF(D184="","",IFERROR(VLOOKUP(D184,選品庫!A:D,4,FALSE),"找不到"))</f>
        <v/>
      </c>
      <c r="F184" s="14" t="n"/>
      <c r="G184" s="14" t="n"/>
      <c r="H184" s="8" t="n"/>
      <c r="I184" s="8" t="n"/>
      <c r="J184" s="14" t="n"/>
    </row>
    <row r="185">
      <c r="A185" s="16" t="n"/>
      <c r="B185" s="14" t="n"/>
      <c r="C185" s="14" t="n"/>
      <c r="D185" s="14" t="n"/>
      <c r="E185" s="10">
        <f>IF(D185="","",IFERROR(VLOOKUP(D185,選品庫!A:D,4,FALSE),"找不到"))</f>
        <v/>
      </c>
      <c r="F185" s="14" t="n"/>
      <c r="G185" s="14" t="n"/>
      <c r="H185" s="8" t="n"/>
      <c r="I185" s="8" t="n"/>
      <c r="J185" s="14" t="n"/>
    </row>
    <row r="186">
      <c r="A186" s="16" t="n"/>
      <c r="B186" s="14" t="n"/>
      <c r="C186" s="14" t="n"/>
      <c r="D186" s="14" t="n"/>
      <c r="E186" s="10">
        <f>IF(D186="","",IFERROR(VLOOKUP(D186,選品庫!A:D,4,FALSE),"找不到"))</f>
        <v/>
      </c>
      <c r="F186" s="14" t="n"/>
      <c r="G186" s="14" t="n"/>
      <c r="H186" s="8" t="n"/>
      <c r="I186" s="8" t="n"/>
      <c r="J186" s="14" t="n"/>
    </row>
    <row r="187">
      <c r="A187" s="16" t="n"/>
      <c r="B187" s="14" t="n"/>
      <c r="C187" s="14" t="n"/>
      <c r="D187" s="14" t="n"/>
      <c r="E187" s="10">
        <f>IF(D187="","",IFERROR(VLOOKUP(D187,選品庫!A:D,4,FALSE),"找不到"))</f>
        <v/>
      </c>
      <c r="F187" s="14" t="n"/>
      <c r="G187" s="14" t="n"/>
      <c r="H187" s="8" t="n"/>
      <c r="I187" s="8" t="n"/>
      <c r="J187" s="14" t="n"/>
    </row>
    <row r="188">
      <c r="A188" s="16" t="n"/>
      <c r="B188" s="14" t="n"/>
      <c r="C188" s="14" t="n"/>
      <c r="D188" s="14" t="n"/>
      <c r="E188" s="10">
        <f>IF(D188="","",IFERROR(VLOOKUP(D188,選品庫!A:D,4,FALSE),"找不到"))</f>
        <v/>
      </c>
      <c r="F188" s="14" t="n"/>
      <c r="G188" s="14" t="n"/>
      <c r="H188" s="8" t="n"/>
      <c r="I188" s="8" t="n"/>
      <c r="J188" s="14" t="n"/>
    </row>
    <row r="189">
      <c r="A189" s="16" t="n"/>
      <c r="B189" s="14" t="n"/>
      <c r="C189" s="14" t="n"/>
      <c r="D189" s="14" t="n"/>
      <c r="E189" s="10">
        <f>IF(D189="","",IFERROR(VLOOKUP(D189,選品庫!A:D,4,FALSE),"找不到"))</f>
        <v/>
      </c>
      <c r="F189" s="14" t="n"/>
      <c r="G189" s="14" t="n"/>
      <c r="H189" s="8" t="n"/>
      <c r="I189" s="8" t="n"/>
      <c r="J189" s="14" t="n"/>
    </row>
    <row r="190">
      <c r="A190" s="16" t="n"/>
      <c r="B190" s="14" t="n"/>
      <c r="C190" s="14" t="n"/>
      <c r="D190" s="14" t="n"/>
      <c r="E190" s="10">
        <f>IF(D190="","",IFERROR(VLOOKUP(D190,選品庫!A:D,4,FALSE),"找不到"))</f>
        <v/>
      </c>
      <c r="F190" s="14" t="n"/>
      <c r="G190" s="14" t="n"/>
      <c r="H190" s="8" t="n"/>
      <c r="I190" s="8" t="n"/>
      <c r="J190" s="14" t="n"/>
    </row>
    <row r="191">
      <c r="A191" s="16" t="n"/>
      <c r="B191" s="14" t="n"/>
      <c r="C191" s="14" t="n"/>
      <c r="D191" s="14" t="n"/>
      <c r="E191" s="10">
        <f>IF(D191="","",IFERROR(VLOOKUP(D191,選品庫!A:D,4,FALSE),"找不到"))</f>
        <v/>
      </c>
      <c r="F191" s="14" t="n"/>
      <c r="G191" s="14" t="n"/>
      <c r="H191" s="8" t="n"/>
      <c r="I191" s="8" t="n"/>
      <c r="J191" s="14" t="n"/>
    </row>
    <row r="192">
      <c r="A192" s="16" t="n"/>
      <c r="B192" s="14" t="n"/>
      <c r="C192" s="14" t="n"/>
      <c r="D192" s="14" t="n"/>
      <c r="E192" s="10">
        <f>IF(D192="","",IFERROR(VLOOKUP(D192,選品庫!A:D,4,FALSE),"找不到"))</f>
        <v/>
      </c>
      <c r="F192" s="14" t="n"/>
      <c r="G192" s="14" t="n"/>
      <c r="H192" s="8" t="n"/>
      <c r="I192" s="8" t="n"/>
      <c r="J192" s="14" t="n"/>
    </row>
    <row r="193">
      <c r="A193" s="16" t="n"/>
      <c r="B193" s="14" t="n"/>
      <c r="C193" s="14" t="n"/>
      <c r="D193" s="14" t="n"/>
      <c r="E193" s="10">
        <f>IF(D193="","",IFERROR(VLOOKUP(D193,選品庫!A:D,4,FALSE),"找不到"))</f>
        <v/>
      </c>
      <c r="F193" s="14" t="n"/>
      <c r="G193" s="14" t="n"/>
      <c r="H193" s="8" t="n"/>
      <c r="I193" s="8" t="n"/>
      <c r="J193" s="14" t="n"/>
    </row>
    <row r="194">
      <c r="A194" s="16" t="n"/>
      <c r="B194" s="14" t="n"/>
      <c r="C194" s="14" t="n"/>
      <c r="D194" s="14" t="n"/>
      <c r="E194" s="10">
        <f>IF(D194="","",IFERROR(VLOOKUP(D194,選品庫!A:D,4,FALSE),"找不到"))</f>
        <v/>
      </c>
      <c r="F194" s="14" t="n"/>
      <c r="G194" s="14" t="n"/>
      <c r="H194" s="8" t="n"/>
      <c r="I194" s="8" t="n"/>
      <c r="J194" s="14" t="n"/>
    </row>
    <row r="195">
      <c r="A195" s="16" t="n"/>
      <c r="B195" s="14" t="n"/>
      <c r="C195" s="14" t="n"/>
      <c r="D195" s="14" t="n"/>
      <c r="E195" s="10">
        <f>IF(D195="","",IFERROR(VLOOKUP(D195,選品庫!A:D,4,FALSE),"找不到"))</f>
        <v/>
      </c>
      <c r="F195" s="14" t="n"/>
      <c r="G195" s="14" t="n"/>
      <c r="H195" s="8" t="n"/>
      <c r="I195" s="8" t="n"/>
      <c r="J195" s="14" t="n"/>
    </row>
    <row r="196">
      <c r="A196" s="16" t="n"/>
      <c r="B196" s="14" t="n"/>
      <c r="C196" s="14" t="n"/>
      <c r="D196" s="14" t="n"/>
      <c r="E196" s="10">
        <f>IF(D196="","",IFERROR(VLOOKUP(D196,選品庫!A:D,4,FALSE),"找不到"))</f>
        <v/>
      </c>
      <c r="F196" s="14" t="n"/>
      <c r="G196" s="14" t="n"/>
      <c r="H196" s="8" t="n"/>
      <c r="I196" s="8" t="n"/>
      <c r="J196" s="14" t="n"/>
    </row>
    <row r="197">
      <c r="A197" s="16" t="n"/>
      <c r="B197" s="14" t="n"/>
      <c r="C197" s="14" t="n"/>
      <c r="D197" s="14" t="n"/>
      <c r="E197" s="10">
        <f>IF(D197="","",IFERROR(VLOOKUP(D197,選品庫!A:D,4,FALSE),"找不到"))</f>
        <v/>
      </c>
      <c r="F197" s="14" t="n"/>
      <c r="G197" s="14" t="n"/>
      <c r="H197" s="8" t="n"/>
      <c r="I197" s="8" t="n"/>
      <c r="J197" s="14" t="n"/>
    </row>
    <row r="198">
      <c r="A198" s="16" t="n"/>
      <c r="B198" s="14" t="n"/>
      <c r="C198" s="14" t="n"/>
      <c r="D198" s="14" t="n"/>
      <c r="E198" s="10">
        <f>IF(D198="","",IFERROR(VLOOKUP(D198,選品庫!A:D,4,FALSE),"找不到"))</f>
        <v/>
      </c>
      <c r="F198" s="14" t="n"/>
      <c r="G198" s="14" t="n"/>
      <c r="H198" s="8" t="n"/>
      <c r="I198" s="8" t="n"/>
      <c r="J198" s="14" t="n"/>
    </row>
    <row r="199">
      <c r="A199" s="16" t="n"/>
      <c r="B199" s="14" t="n"/>
      <c r="C199" s="14" t="n"/>
      <c r="D199" s="14" t="n"/>
      <c r="E199" s="10">
        <f>IF(D199="","",IFERROR(VLOOKUP(D199,選品庫!A:D,4,FALSE),"找不到"))</f>
        <v/>
      </c>
      <c r="F199" s="14" t="n"/>
      <c r="G199" s="14" t="n"/>
      <c r="H199" s="8" t="n"/>
      <c r="I199" s="8" t="n"/>
      <c r="J199" s="14" t="n"/>
    </row>
    <row r="200">
      <c r="A200" s="16" t="n"/>
      <c r="B200" s="14" t="n"/>
      <c r="C200" s="14" t="n"/>
      <c r="D200" s="14" t="n"/>
      <c r="E200" s="10">
        <f>IF(D200="","",IFERROR(VLOOKUP(D200,選品庫!A:D,4,FALSE),"找不到"))</f>
        <v/>
      </c>
      <c r="F200" s="14" t="n"/>
      <c r="G200" s="14" t="n"/>
      <c r="H200" s="8" t="n"/>
      <c r="I200" s="8" t="n"/>
      <c r="J200" s="14" t="n"/>
    </row>
    <row r="201">
      <c r="A201" s="16" t="n"/>
      <c r="B201" s="14" t="n"/>
      <c r="C201" s="14" t="n"/>
      <c r="D201" s="14" t="n"/>
      <c r="E201" s="10">
        <f>IF(D201="","",IFERROR(VLOOKUP(D201,選品庫!A:D,4,FALSE),"找不到"))</f>
        <v/>
      </c>
      <c r="F201" s="14" t="n"/>
      <c r="G201" s="14" t="n"/>
      <c r="H201" s="8" t="n"/>
      <c r="I201" s="8" t="n"/>
      <c r="J201" s="14" t="n"/>
    </row>
    <row r="202">
      <c r="A202" s="16" t="n"/>
      <c r="B202" s="14" t="n"/>
      <c r="C202" s="14" t="n"/>
      <c r="D202" s="14" t="n"/>
      <c r="E202" s="10">
        <f>IF(D202="","",IFERROR(VLOOKUP(D202,選品庫!A:D,4,FALSE),"找不到"))</f>
        <v/>
      </c>
      <c r="F202" s="14" t="n"/>
      <c r="G202" s="14" t="n"/>
      <c r="H202" s="8" t="n"/>
      <c r="I202" s="8" t="n"/>
      <c r="J202" s="14" t="n"/>
    </row>
    <row r="203">
      <c r="A203" s="16" t="n"/>
      <c r="B203" s="14" t="n"/>
      <c r="C203" s="14" t="n"/>
      <c r="D203" s="14" t="n"/>
      <c r="E203" s="10">
        <f>IF(D203="","",IFERROR(VLOOKUP(D203,選品庫!A:D,4,FALSE),"找不到"))</f>
        <v/>
      </c>
      <c r="F203" s="14" t="n"/>
      <c r="G203" s="14" t="n"/>
      <c r="H203" s="8" t="n"/>
      <c r="I203" s="8" t="n"/>
      <c r="J203" s="14" t="n"/>
    </row>
    <row r="204">
      <c r="A204" s="16" t="n"/>
      <c r="B204" s="14" t="n"/>
      <c r="C204" s="14" t="n"/>
      <c r="D204" s="14" t="n"/>
      <c r="E204" s="10">
        <f>IF(D204="","",IFERROR(VLOOKUP(D204,選品庫!A:D,4,FALSE),"找不到"))</f>
        <v/>
      </c>
      <c r="F204" s="14" t="n"/>
      <c r="G204" s="14" t="n"/>
      <c r="H204" s="8" t="n"/>
      <c r="I204" s="8" t="n"/>
      <c r="J204" s="14" t="n"/>
    </row>
    <row r="205">
      <c r="A205" s="16" t="n"/>
      <c r="B205" s="14" t="n"/>
      <c r="C205" s="14" t="n"/>
      <c r="D205" s="14" t="n"/>
      <c r="E205" s="10">
        <f>IF(D205="","",IFERROR(VLOOKUP(D205,選品庫!A:D,4,FALSE),"找不到"))</f>
        <v/>
      </c>
      <c r="F205" s="14" t="n"/>
      <c r="G205" s="14" t="n"/>
      <c r="H205" s="8" t="n"/>
      <c r="I205" s="8" t="n"/>
      <c r="J205" s="14" t="n"/>
    </row>
    <row r="206">
      <c r="A206" s="16" t="n"/>
      <c r="B206" s="14" t="n"/>
      <c r="C206" s="14" t="n"/>
      <c r="D206" s="14" t="n"/>
      <c r="E206" s="10">
        <f>IF(D206="","",IFERROR(VLOOKUP(D206,選品庫!A:D,4,FALSE),"找不到"))</f>
        <v/>
      </c>
      <c r="F206" s="14" t="n"/>
      <c r="G206" s="14" t="n"/>
      <c r="H206" s="8" t="n"/>
      <c r="I206" s="8" t="n"/>
      <c r="J206" s="14" t="n"/>
    </row>
    <row r="207">
      <c r="A207" s="16" t="n"/>
      <c r="B207" s="14" t="n"/>
      <c r="C207" s="14" t="n"/>
      <c r="D207" s="14" t="n"/>
      <c r="E207" s="10">
        <f>IF(D207="","",IFERROR(VLOOKUP(D207,選品庫!A:D,4,FALSE),"找不到"))</f>
        <v/>
      </c>
      <c r="F207" s="14" t="n"/>
      <c r="G207" s="14" t="n"/>
      <c r="H207" s="8" t="n"/>
      <c r="I207" s="8" t="n"/>
      <c r="J207" s="14" t="n"/>
    </row>
    <row r="208">
      <c r="A208" s="16" t="n"/>
      <c r="B208" s="14" t="n"/>
      <c r="C208" s="14" t="n"/>
      <c r="D208" s="14" t="n"/>
      <c r="E208" s="10">
        <f>IF(D208="","",IFERROR(VLOOKUP(D208,選品庫!A:D,4,FALSE),"找不到"))</f>
        <v/>
      </c>
      <c r="F208" s="14" t="n"/>
      <c r="G208" s="14" t="n"/>
      <c r="H208" s="8" t="n"/>
      <c r="I208" s="8" t="n"/>
      <c r="J208" s="14" t="n"/>
    </row>
    <row r="209">
      <c r="A209" s="16" t="n"/>
      <c r="B209" s="14" t="n"/>
      <c r="C209" s="14" t="n"/>
      <c r="D209" s="14" t="n"/>
      <c r="E209" s="10">
        <f>IF(D209="","",IFERROR(VLOOKUP(D209,選品庫!A:D,4,FALSE),"找不到"))</f>
        <v/>
      </c>
      <c r="F209" s="14" t="n"/>
      <c r="G209" s="14" t="n"/>
      <c r="H209" s="8" t="n"/>
      <c r="I209" s="8" t="n"/>
      <c r="J209" s="14" t="n"/>
    </row>
    <row r="210">
      <c r="A210" s="16" t="n"/>
      <c r="B210" s="14" t="n"/>
      <c r="C210" s="14" t="n"/>
      <c r="D210" s="14" t="n"/>
      <c r="E210" s="10">
        <f>IF(D210="","",IFERROR(VLOOKUP(D210,選品庫!A:D,4,FALSE),"找不到"))</f>
        <v/>
      </c>
      <c r="F210" s="14" t="n"/>
      <c r="G210" s="14" t="n"/>
      <c r="H210" s="8" t="n"/>
      <c r="I210" s="8" t="n"/>
      <c r="J210" s="14" t="n"/>
    </row>
    <row r="211">
      <c r="A211" s="16" t="n"/>
      <c r="B211" s="14" t="n"/>
      <c r="C211" s="14" t="n"/>
      <c r="D211" s="14" t="n"/>
      <c r="E211" s="10">
        <f>IF(D211="","",IFERROR(VLOOKUP(D211,選品庫!A:D,4,FALSE),"找不到"))</f>
        <v/>
      </c>
      <c r="F211" s="14" t="n"/>
      <c r="G211" s="14" t="n"/>
      <c r="H211" s="8" t="n"/>
      <c r="I211" s="8" t="n"/>
      <c r="J211" s="14" t="n"/>
    </row>
    <row r="212">
      <c r="A212" s="16" t="n"/>
      <c r="B212" s="14" t="n"/>
      <c r="C212" s="14" t="n"/>
      <c r="D212" s="14" t="n"/>
      <c r="E212" s="10">
        <f>IF(D212="","",IFERROR(VLOOKUP(D212,選品庫!A:D,4,FALSE),"找不到"))</f>
        <v/>
      </c>
      <c r="F212" s="14" t="n"/>
      <c r="G212" s="14" t="n"/>
      <c r="H212" s="8" t="n"/>
      <c r="I212" s="8" t="n"/>
      <c r="J212" s="14" t="n"/>
    </row>
    <row r="213">
      <c r="A213" s="16" t="n"/>
      <c r="B213" s="14" t="n"/>
      <c r="C213" s="14" t="n"/>
      <c r="D213" s="14" t="n"/>
      <c r="E213" s="10">
        <f>IF(D213="","",IFERROR(VLOOKUP(D213,選品庫!A:D,4,FALSE),"找不到"))</f>
        <v/>
      </c>
      <c r="F213" s="14" t="n"/>
      <c r="G213" s="14" t="n"/>
      <c r="H213" s="8" t="n"/>
      <c r="I213" s="8" t="n"/>
      <c r="J213" s="14" t="n"/>
    </row>
    <row r="214">
      <c r="A214" s="16" t="n"/>
      <c r="B214" s="14" t="n"/>
      <c r="C214" s="14" t="n"/>
      <c r="D214" s="14" t="n"/>
      <c r="E214" s="10">
        <f>IF(D214="","",IFERROR(VLOOKUP(D214,選品庫!A:D,4,FALSE),"找不到"))</f>
        <v/>
      </c>
      <c r="F214" s="14" t="n"/>
      <c r="G214" s="14" t="n"/>
      <c r="H214" s="8" t="n"/>
      <c r="I214" s="8" t="n"/>
      <c r="J214" s="14" t="n"/>
    </row>
    <row r="215">
      <c r="A215" s="16" t="n"/>
      <c r="B215" s="14" t="n"/>
      <c r="C215" s="14" t="n"/>
      <c r="D215" s="14" t="n"/>
      <c r="E215" s="10">
        <f>IF(D215="","",IFERROR(VLOOKUP(D215,選品庫!A:D,4,FALSE),"找不到"))</f>
        <v/>
      </c>
      <c r="F215" s="14" t="n"/>
      <c r="G215" s="14" t="n"/>
      <c r="H215" s="8" t="n"/>
      <c r="I215" s="8" t="n"/>
      <c r="J215" s="14" t="n"/>
    </row>
    <row r="216">
      <c r="A216" s="16" t="n"/>
      <c r="B216" s="14" t="n"/>
      <c r="C216" s="14" t="n"/>
      <c r="D216" s="14" t="n"/>
      <c r="E216" s="10">
        <f>IF(D216="","",IFERROR(VLOOKUP(D216,選品庫!A:D,4,FALSE),"找不到"))</f>
        <v/>
      </c>
      <c r="F216" s="14" t="n"/>
      <c r="G216" s="14" t="n"/>
      <c r="H216" s="8" t="n"/>
      <c r="I216" s="8" t="n"/>
      <c r="J216" s="14" t="n"/>
    </row>
    <row r="217">
      <c r="A217" s="16" t="n"/>
      <c r="B217" s="14" t="n"/>
      <c r="C217" s="14" t="n"/>
      <c r="D217" s="14" t="n"/>
      <c r="E217" s="10">
        <f>IF(D217="","",IFERROR(VLOOKUP(D217,選品庫!A:D,4,FALSE),"找不到"))</f>
        <v/>
      </c>
      <c r="F217" s="14" t="n"/>
      <c r="G217" s="14" t="n"/>
      <c r="H217" s="8" t="n"/>
      <c r="I217" s="8" t="n"/>
      <c r="J217" s="14" t="n"/>
    </row>
    <row r="218">
      <c r="A218" s="16" t="n"/>
      <c r="B218" s="14" t="n"/>
      <c r="C218" s="14" t="n"/>
      <c r="D218" s="14" t="n"/>
      <c r="E218" s="10">
        <f>IF(D218="","",IFERROR(VLOOKUP(D218,選品庫!A:D,4,FALSE),"找不到"))</f>
        <v/>
      </c>
      <c r="F218" s="14" t="n"/>
      <c r="G218" s="14" t="n"/>
      <c r="H218" s="8" t="n"/>
      <c r="I218" s="8" t="n"/>
      <c r="J218" s="14" t="n"/>
    </row>
    <row r="219">
      <c r="A219" s="16" t="n"/>
      <c r="B219" s="14" t="n"/>
      <c r="C219" s="14" t="n"/>
      <c r="D219" s="14" t="n"/>
      <c r="E219" s="10">
        <f>IF(D219="","",IFERROR(VLOOKUP(D219,選品庫!A:D,4,FALSE),"找不到"))</f>
        <v/>
      </c>
      <c r="F219" s="14" t="n"/>
      <c r="G219" s="14" t="n"/>
      <c r="H219" s="8" t="n"/>
      <c r="I219" s="8" t="n"/>
      <c r="J219" s="14" t="n"/>
    </row>
    <row r="220">
      <c r="A220" s="16" t="n"/>
      <c r="B220" s="14" t="n"/>
      <c r="C220" s="14" t="n"/>
      <c r="D220" s="14" t="n"/>
      <c r="E220" s="10">
        <f>IF(D220="","",IFERROR(VLOOKUP(D220,選品庫!A:D,4,FALSE),"找不到"))</f>
        <v/>
      </c>
      <c r="F220" s="14" t="n"/>
      <c r="G220" s="14" t="n"/>
      <c r="H220" s="8" t="n"/>
      <c r="I220" s="8" t="n"/>
      <c r="J220" s="14" t="n"/>
    </row>
    <row r="221">
      <c r="A221" s="16" t="n"/>
      <c r="B221" s="14" t="n"/>
      <c r="C221" s="14" t="n"/>
      <c r="D221" s="14" t="n"/>
      <c r="E221" s="10">
        <f>IF(D221="","",IFERROR(VLOOKUP(D221,選品庫!A:D,4,FALSE),"找不到"))</f>
        <v/>
      </c>
      <c r="F221" s="14" t="n"/>
      <c r="G221" s="14" t="n"/>
      <c r="H221" s="8" t="n"/>
      <c r="I221" s="8" t="n"/>
      <c r="J221" s="14" t="n"/>
    </row>
    <row r="222">
      <c r="A222" s="16" t="n"/>
      <c r="B222" s="14" t="n"/>
      <c r="C222" s="14" t="n"/>
      <c r="D222" s="14" t="n"/>
      <c r="E222" s="10">
        <f>IF(D222="","",IFERROR(VLOOKUP(D222,選品庫!A:D,4,FALSE),"找不到"))</f>
        <v/>
      </c>
      <c r="F222" s="14" t="n"/>
      <c r="G222" s="14" t="n"/>
      <c r="H222" s="8" t="n"/>
      <c r="I222" s="8" t="n"/>
      <c r="J222" s="14" t="n"/>
    </row>
    <row r="223">
      <c r="A223" s="16" t="n"/>
      <c r="B223" s="14" t="n"/>
      <c r="C223" s="14" t="n"/>
      <c r="D223" s="14" t="n"/>
      <c r="E223" s="10">
        <f>IF(D223="","",IFERROR(VLOOKUP(D223,選品庫!A:D,4,FALSE),"找不到"))</f>
        <v/>
      </c>
      <c r="F223" s="14" t="n"/>
      <c r="G223" s="14" t="n"/>
      <c r="H223" s="8" t="n"/>
      <c r="I223" s="8" t="n"/>
      <c r="J223" s="14" t="n"/>
    </row>
    <row r="224">
      <c r="A224" s="16" t="n"/>
      <c r="B224" s="14" t="n"/>
      <c r="C224" s="14" t="n"/>
      <c r="D224" s="14" t="n"/>
      <c r="E224" s="10">
        <f>IF(D224="","",IFERROR(VLOOKUP(D224,選品庫!A:D,4,FALSE),"找不到"))</f>
        <v/>
      </c>
      <c r="F224" s="14" t="n"/>
      <c r="G224" s="14" t="n"/>
      <c r="H224" s="8" t="n"/>
      <c r="I224" s="8" t="n"/>
      <c r="J224" s="14" t="n"/>
    </row>
    <row r="225">
      <c r="A225" s="16" t="n"/>
      <c r="B225" s="14" t="n"/>
      <c r="C225" s="14" t="n"/>
      <c r="D225" s="14" t="n"/>
      <c r="E225" s="10">
        <f>IF(D225="","",IFERROR(VLOOKUP(D225,選品庫!A:D,4,FALSE),"找不到"))</f>
        <v/>
      </c>
      <c r="F225" s="14" t="n"/>
      <c r="G225" s="14" t="n"/>
      <c r="H225" s="8" t="n"/>
      <c r="I225" s="8" t="n"/>
      <c r="J225" s="14" t="n"/>
    </row>
    <row r="226">
      <c r="A226" s="16" t="n"/>
      <c r="B226" s="14" t="n"/>
      <c r="C226" s="14" t="n"/>
      <c r="D226" s="14" t="n"/>
      <c r="E226" s="10">
        <f>IF(D226="","",IFERROR(VLOOKUP(D226,選品庫!A:D,4,FALSE),"找不到"))</f>
        <v/>
      </c>
      <c r="F226" s="14" t="n"/>
      <c r="G226" s="14" t="n"/>
      <c r="H226" s="8" t="n"/>
      <c r="I226" s="8" t="n"/>
      <c r="J226" s="14" t="n"/>
    </row>
    <row r="227">
      <c r="A227" s="16" t="n"/>
      <c r="B227" s="14" t="n"/>
      <c r="C227" s="14" t="n"/>
      <c r="D227" s="14" t="n"/>
      <c r="E227" s="10">
        <f>IF(D227="","",IFERROR(VLOOKUP(D227,選品庫!A:D,4,FALSE),"找不到"))</f>
        <v/>
      </c>
      <c r="F227" s="14" t="n"/>
      <c r="G227" s="14" t="n"/>
      <c r="H227" s="8" t="n"/>
      <c r="I227" s="8" t="n"/>
      <c r="J227" s="14" t="n"/>
    </row>
    <row r="228">
      <c r="A228" s="16" t="n"/>
      <c r="B228" s="14" t="n"/>
      <c r="C228" s="14" t="n"/>
      <c r="D228" s="14" t="n"/>
      <c r="E228" s="10">
        <f>IF(D228="","",IFERROR(VLOOKUP(D228,選品庫!A:D,4,FALSE),"找不到"))</f>
        <v/>
      </c>
      <c r="F228" s="14" t="n"/>
      <c r="G228" s="14" t="n"/>
      <c r="H228" s="8" t="n"/>
      <c r="I228" s="8" t="n"/>
      <c r="J228" s="14" t="n"/>
    </row>
    <row r="229">
      <c r="A229" s="16" t="n"/>
      <c r="B229" s="14" t="n"/>
      <c r="C229" s="14" t="n"/>
      <c r="D229" s="14" t="n"/>
      <c r="E229" s="10">
        <f>IF(D229="","",IFERROR(VLOOKUP(D229,選品庫!A:D,4,FALSE),"找不到"))</f>
        <v/>
      </c>
      <c r="F229" s="14" t="n"/>
      <c r="G229" s="14" t="n"/>
      <c r="H229" s="8" t="n"/>
      <c r="I229" s="8" t="n"/>
      <c r="J229" s="14" t="n"/>
    </row>
    <row r="230">
      <c r="A230" s="16" t="n"/>
      <c r="B230" s="14" t="n"/>
      <c r="C230" s="14" t="n"/>
      <c r="D230" s="14" t="n"/>
      <c r="E230" s="10">
        <f>IF(D230="","",IFERROR(VLOOKUP(D230,選品庫!A:D,4,FALSE),"找不到"))</f>
        <v/>
      </c>
      <c r="F230" s="14" t="n"/>
      <c r="G230" s="14" t="n"/>
      <c r="H230" s="8" t="n"/>
      <c r="I230" s="8" t="n"/>
      <c r="J230" s="14" t="n"/>
    </row>
    <row r="231">
      <c r="A231" s="16" t="n"/>
      <c r="B231" s="14" t="n"/>
      <c r="C231" s="14" t="n"/>
      <c r="D231" s="14" t="n"/>
      <c r="E231" s="10">
        <f>IF(D231="","",IFERROR(VLOOKUP(D231,選品庫!A:D,4,FALSE),"找不到"))</f>
        <v/>
      </c>
      <c r="F231" s="14" t="n"/>
      <c r="G231" s="14" t="n"/>
      <c r="H231" s="8" t="n"/>
      <c r="I231" s="8" t="n"/>
      <c r="J231" s="14" t="n"/>
    </row>
    <row r="232">
      <c r="A232" s="16" t="n"/>
      <c r="B232" s="14" t="n"/>
      <c r="C232" s="14" t="n"/>
      <c r="D232" s="14" t="n"/>
      <c r="E232" s="10">
        <f>IF(D232="","",IFERROR(VLOOKUP(D232,選品庫!A:D,4,FALSE),"找不到"))</f>
        <v/>
      </c>
      <c r="F232" s="14" t="n"/>
      <c r="G232" s="14" t="n"/>
      <c r="H232" s="8" t="n"/>
      <c r="I232" s="8" t="n"/>
      <c r="J232" s="14" t="n"/>
    </row>
    <row r="233">
      <c r="A233" s="16" t="n"/>
      <c r="B233" s="14" t="n"/>
      <c r="C233" s="14" t="n"/>
      <c r="D233" s="14" t="n"/>
      <c r="E233" s="10">
        <f>IF(D233="","",IFERROR(VLOOKUP(D233,選品庫!A:D,4,FALSE),"找不到"))</f>
        <v/>
      </c>
      <c r="F233" s="14" t="n"/>
      <c r="G233" s="14" t="n"/>
      <c r="H233" s="8" t="n"/>
      <c r="I233" s="8" t="n"/>
      <c r="J233" s="14" t="n"/>
    </row>
    <row r="234">
      <c r="A234" s="16" t="n"/>
      <c r="B234" s="14" t="n"/>
      <c r="C234" s="14" t="n"/>
      <c r="D234" s="14" t="n"/>
      <c r="E234" s="10">
        <f>IF(D234="","",IFERROR(VLOOKUP(D234,選品庫!A:D,4,FALSE),"找不到"))</f>
        <v/>
      </c>
      <c r="F234" s="14" t="n"/>
      <c r="G234" s="14" t="n"/>
      <c r="H234" s="8" t="n"/>
      <c r="I234" s="8" t="n"/>
      <c r="J234" s="14" t="n"/>
    </row>
    <row r="235">
      <c r="A235" s="16" t="n"/>
      <c r="B235" s="14" t="n"/>
      <c r="C235" s="14" t="n"/>
      <c r="D235" s="14" t="n"/>
      <c r="E235" s="10">
        <f>IF(D235="","",IFERROR(VLOOKUP(D235,選品庫!A:D,4,FALSE),"找不到"))</f>
        <v/>
      </c>
      <c r="F235" s="14" t="n"/>
      <c r="G235" s="14" t="n"/>
      <c r="H235" s="8" t="n"/>
      <c r="I235" s="8" t="n"/>
      <c r="J235" s="14" t="n"/>
    </row>
    <row r="236">
      <c r="A236" s="16" t="n"/>
      <c r="B236" s="14" t="n"/>
      <c r="C236" s="14" t="n"/>
      <c r="D236" s="14" t="n"/>
      <c r="E236" s="10">
        <f>IF(D236="","",IFERROR(VLOOKUP(D236,選品庫!A:D,4,FALSE),"找不到"))</f>
        <v/>
      </c>
      <c r="F236" s="14" t="n"/>
      <c r="G236" s="14" t="n"/>
      <c r="H236" s="8" t="n"/>
      <c r="I236" s="8" t="n"/>
      <c r="J236" s="14" t="n"/>
    </row>
    <row r="237">
      <c r="A237" s="16" t="n"/>
      <c r="B237" s="14" t="n"/>
      <c r="C237" s="14" t="n"/>
      <c r="D237" s="14" t="n"/>
      <c r="E237" s="10">
        <f>IF(D237="","",IFERROR(VLOOKUP(D237,選品庫!A:D,4,FALSE),"找不到"))</f>
        <v/>
      </c>
      <c r="F237" s="14" t="n"/>
      <c r="G237" s="14" t="n"/>
      <c r="H237" s="8" t="n"/>
      <c r="I237" s="8" t="n"/>
      <c r="J237" s="14" t="n"/>
    </row>
    <row r="238">
      <c r="A238" s="16" t="n"/>
      <c r="B238" s="14" t="n"/>
      <c r="C238" s="14" t="n"/>
      <c r="D238" s="14" t="n"/>
      <c r="E238" s="10">
        <f>IF(D238="","",IFERROR(VLOOKUP(D238,選品庫!A:D,4,FALSE),"找不到"))</f>
        <v/>
      </c>
      <c r="F238" s="14" t="n"/>
      <c r="G238" s="14" t="n"/>
      <c r="H238" s="8" t="n"/>
      <c r="I238" s="8" t="n"/>
      <c r="J238" s="14" t="n"/>
    </row>
    <row r="239">
      <c r="A239" s="16" t="n"/>
      <c r="B239" s="14" t="n"/>
      <c r="C239" s="14" t="n"/>
      <c r="D239" s="14" t="n"/>
      <c r="E239" s="10">
        <f>IF(D239="","",IFERROR(VLOOKUP(D239,選品庫!A:D,4,FALSE),"找不到"))</f>
        <v/>
      </c>
      <c r="F239" s="14" t="n"/>
      <c r="G239" s="14" t="n"/>
      <c r="H239" s="8" t="n"/>
      <c r="I239" s="8" t="n"/>
      <c r="J239" s="14" t="n"/>
    </row>
    <row r="240">
      <c r="A240" s="16" t="n"/>
      <c r="B240" s="14" t="n"/>
      <c r="C240" s="14" t="n"/>
      <c r="D240" s="14" t="n"/>
      <c r="E240" s="10">
        <f>IF(D240="","",IFERROR(VLOOKUP(D240,選品庫!A:D,4,FALSE),"找不到"))</f>
        <v/>
      </c>
      <c r="F240" s="14" t="n"/>
      <c r="G240" s="14" t="n"/>
      <c r="H240" s="8" t="n"/>
      <c r="I240" s="8" t="n"/>
      <c r="J240" s="14" t="n"/>
    </row>
    <row r="241">
      <c r="A241" s="16" t="n"/>
      <c r="B241" s="14" t="n"/>
      <c r="C241" s="14" t="n"/>
      <c r="D241" s="14" t="n"/>
      <c r="E241" s="10">
        <f>IF(D241="","",IFERROR(VLOOKUP(D241,選品庫!A:D,4,FALSE),"找不到"))</f>
        <v/>
      </c>
      <c r="F241" s="14" t="n"/>
      <c r="G241" s="14" t="n"/>
      <c r="H241" s="8" t="n"/>
      <c r="I241" s="8" t="n"/>
      <c r="J241" s="14" t="n"/>
    </row>
    <row r="242">
      <c r="A242" s="16" t="n"/>
      <c r="B242" s="14" t="n"/>
      <c r="C242" s="14" t="n"/>
      <c r="D242" s="14" t="n"/>
      <c r="E242" s="10">
        <f>IF(D242="","",IFERROR(VLOOKUP(D242,選品庫!A:D,4,FALSE),"找不到"))</f>
        <v/>
      </c>
      <c r="F242" s="14" t="n"/>
      <c r="G242" s="14" t="n"/>
      <c r="H242" s="8" t="n"/>
      <c r="I242" s="8" t="n"/>
      <c r="J242" s="14" t="n"/>
    </row>
    <row r="243">
      <c r="A243" s="16" t="n"/>
      <c r="B243" s="14" t="n"/>
      <c r="C243" s="14" t="n"/>
      <c r="D243" s="14" t="n"/>
      <c r="E243" s="10">
        <f>IF(D243="","",IFERROR(VLOOKUP(D243,選品庫!A:D,4,FALSE),"找不到"))</f>
        <v/>
      </c>
      <c r="F243" s="14" t="n"/>
      <c r="G243" s="14" t="n"/>
      <c r="H243" s="8" t="n"/>
      <c r="I243" s="8" t="n"/>
      <c r="J243" s="14" t="n"/>
    </row>
    <row r="244">
      <c r="A244" s="16" t="n"/>
      <c r="B244" s="14" t="n"/>
      <c r="C244" s="14" t="n"/>
      <c r="D244" s="14" t="n"/>
      <c r="E244" s="10">
        <f>IF(D244="","",IFERROR(VLOOKUP(D244,選品庫!A:D,4,FALSE),"找不到"))</f>
        <v/>
      </c>
      <c r="F244" s="14" t="n"/>
      <c r="G244" s="14" t="n"/>
      <c r="H244" s="8" t="n"/>
      <c r="I244" s="8" t="n"/>
      <c r="J244" s="14" t="n"/>
    </row>
    <row r="245">
      <c r="A245" s="16" t="n"/>
      <c r="B245" s="14" t="n"/>
      <c r="C245" s="14" t="n"/>
      <c r="D245" s="14" t="n"/>
      <c r="E245" s="10">
        <f>IF(D245="","",IFERROR(VLOOKUP(D245,選品庫!A:D,4,FALSE),"找不到"))</f>
        <v/>
      </c>
      <c r="F245" s="14" t="n"/>
      <c r="G245" s="14" t="n"/>
      <c r="H245" s="8" t="n"/>
      <c r="I245" s="8" t="n"/>
      <c r="J245" s="14" t="n"/>
    </row>
    <row r="246">
      <c r="A246" s="16" t="n"/>
      <c r="B246" s="14" t="n"/>
      <c r="C246" s="14" t="n"/>
      <c r="D246" s="14" t="n"/>
      <c r="E246" s="10">
        <f>IF(D246="","",IFERROR(VLOOKUP(D246,選品庫!A:D,4,FALSE),"找不到"))</f>
        <v/>
      </c>
      <c r="F246" s="14" t="n"/>
      <c r="G246" s="14" t="n"/>
      <c r="H246" s="8" t="n"/>
      <c r="I246" s="8" t="n"/>
      <c r="J246" s="14" t="n"/>
    </row>
    <row r="247">
      <c r="A247" s="16" t="n"/>
      <c r="B247" s="14" t="n"/>
      <c r="C247" s="14" t="n"/>
      <c r="D247" s="14" t="n"/>
      <c r="E247" s="10">
        <f>IF(D247="","",IFERROR(VLOOKUP(D247,選品庫!A:D,4,FALSE),"找不到"))</f>
        <v/>
      </c>
      <c r="F247" s="14" t="n"/>
      <c r="G247" s="14" t="n"/>
      <c r="H247" s="8" t="n"/>
      <c r="I247" s="8" t="n"/>
      <c r="J247" s="14" t="n"/>
    </row>
    <row r="248">
      <c r="A248" s="16" t="n"/>
      <c r="B248" s="14" t="n"/>
      <c r="C248" s="14" t="n"/>
      <c r="D248" s="14" t="n"/>
      <c r="E248" s="10">
        <f>IF(D248="","",IFERROR(VLOOKUP(D248,選品庫!A:D,4,FALSE),"找不到"))</f>
        <v/>
      </c>
      <c r="F248" s="14" t="n"/>
      <c r="G248" s="14" t="n"/>
      <c r="H248" s="8" t="n"/>
      <c r="I248" s="8" t="n"/>
      <c r="J248" s="14" t="n"/>
    </row>
    <row r="249">
      <c r="A249" s="16" t="n"/>
      <c r="B249" s="14" t="n"/>
      <c r="C249" s="14" t="n"/>
      <c r="D249" s="14" t="n"/>
      <c r="E249" s="10">
        <f>IF(D249="","",IFERROR(VLOOKUP(D249,選品庫!A:D,4,FALSE),"找不到"))</f>
        <v/>
      </c>
      <c r="F249" s="14" t="n"/>
      <c r="G249" s="14" t="n"/>
      <c r="H249" s="8" t="n"/>
      <c r="I249" s="8" t="n"/>
      <c r="J249" s="14" t="n"/>
    </row>
    <row r="250">
      <c r="A250" s="16" t="n"/>
      <c r="B250" s="14" t="n"/>
      <c r="C250" s="14" t="n"/>
      <c r="D250" s="14" t="n"/>
      <c r="E250" s="10">
        <f>IF(D250="","",IFERROR(VLOOKUP(D250,選品庫!A:D,4,FALSE),"找不到"))</f>
        <v/>
      </c>
      <c r="F250" s="14" t="n"/>
      <c r="G250" s="14" t="n"/>
      <c r="H250" s="8" t="n"/>
      <c r="I250" s="8" t="n"/>
      <c r="J250" s="14" t="n"/>
    </row>
    <row r="251">
      <c r="A251" s="16" t="n"/>
      <c r="B251" s="14" t="n"/>
      <c r="C251" s="14" t="n"/>
      <c r="D251" s="14" t="n"/>
      <c r="E251" s="10">
        <f>IF(D251="","",IFERROR(VLOOKUP(D251,選品庫!A:D,4,FALSE),"找不到"))</f>
        <v/>
      </c>
      <c r="F251" s="14" t="n"/>
      <c r="G251" s="14" t="n"/>
      <c r="H251" s="8" t="n"/>
      <c r="I251" s="8" t="n"/>
      <c r="J251" s="14" t="n"/>
    </row>
    <row r="252">
      <c r="A252" s="16" t="n"/>
      <c r="B252" s="14" t="n"/>
      <c r="C252" s="14" t="n"/>
      <c r="D252" s="14" t="n"/>
      <c r="E252" s="10">
        <f>IF(D252="","",IFERROR(VLOOKUP(D252,選品庫!A:D,4,FALSE),"找不到"))</f>
        <v/>
      </c>
      <c r="F252" s="14" t="n"/>
      <c r="G252" s="14" t="n"/>
      <c r="H252" s="8" t="n"/>
      <c r="I252" s="8" t="n"/>
      <c r="J252" s="14" t="n"/>
    </row>
    <row r="253">
      <c r="A253" s="16" t="n"/>
      <c r="B253" s="14" t="n"/>
      <c r="C253" s="14" t="n"/>
      <c r="D253" s="14" t="n"/>
      <c r="E253" s="10">
        <f>IF(D253="","",IFERROR(VLOOKUP(D253,選品庫!A:D,4,FALSE),"找不到"))</f>
        <v/>
      </c>
      <c r="F253" s="14" t="n"/>
      <c r="G253" s="14" t="n"/>
      <c r="H253" s="8" t="n"/>
      <c r="I253" s="8" t="n"/>
      <c r="J253" s="14" t="n"/>
    </row>
    <row r="254">
      <c r="A254" s="16" t="n"/>
      <c r="B254" s="14" t="n"/>
      <c r="C254" s="14" t="n"/>
      <c r="D254" s="14" t="n"/>
      <c r="E254" s="10">
        <f>IF(D254="","",IFERROR(VLOOKUP(D254,選品庫!A:D,4,FALSE),"找不到"))</f>
        <v/>
      </c>
      <c r="F254" s="14" t="n"/>
      <c r="G254" s="14" t="n"/>
      <c r="H254" s="8" t="n"/>
      <c r="I254" s="8" t="n"/>
      <c r="J254" s="14" t="n"/>
    </row>
    <row r="255">
      <c r="A255" s="16" t="n"/>
      <c r="B255" s="14" t="n"/>
      <c r="C255" s="14" t="n"/>
      <c r="D255" s="14" t="n"/>
      <c r="E255" s="10">
        <f>IF(D255="","",IFERROR(VLOOKUP(D255,選品庫!A:D,4,FALSE),"找不到"))</f>
        <v/>
      </c>
      <c r="F255" s="14" t="n"/>
      <c r="G255" s="14" t="n"/>
      <c r="H255" s="8" t="n"/>
      <c r="I255" s="8" t="n"/>
      <c r="J255" s="14" t="n"/>
    </row>
    <row r="256">
      <c r="A256" s="16" t="n"/>
      <c r="B256" s="14" t="n"/>
      <c r="C256" s="14" t="n"/>
      <c r="D256" s="14" t="n"/>
      <c r="E256" s="10">
        <f>IF(D256="","",IFERROR(VLOOKUP(D256,選品庫!A:D,4,FALSE),"找不到"))</f>
        <v/>
      </c>
      <c r="F256" s="14" t="n"/>
      <c r="G256" s="14" t="n"/>
      <c r="H256" s="8" t="n"/>
      <c r="I256" s="8" t="n"/>
      <c r="J256" s="14" t="n"/>
    </row>
    <row r="257">
      <c r="A257" s="16" t="n"/>
      <c r="B257" s="14" t="n"/>
      <c r="C257" s="14" t="n"/>
      <c r="D257" s="14" t="n"/>
      <c r="E257" s="10">
        <f>IF(D257="","",IFERROR(VLOOKUP(D257,選品庫!A:D,4,FALSE),"找不到"))</f>
        <v/>
      </c>
      <c r="F257" s="14" t="n"/>
      <c r="G257" s="14" t="n"/>
      <c r="H257" s="8" t="n"/>
      <c r="I257" s="8" t="n"/>
      <c r="J257" s="14" t="n"/>
    </row>
    <row r="258">
      <c r="A258" s="16" t="n"/>
      <c r="B258" s="14" t="n"/>
      <c r="C258" s="14" t="n"/>
      <c r="D258" s="14" t="n"/>
      <c r="E258" s="10">
        <f>IF(D258="","",IFERROR(VLOOKUP(D258,選品庫!A:D,4,FALSE),"找不到"))</f>
        <v/>
      </c>
      <c r="F258" s="14" t="n"/>
      <c r="G258" s="14" t="n"/>
      <c r="H258" s="8" t="n"/>
      <c r="I258" s="8" t="n"/>
      <c r="J258" s="14" t="n"/>
    </row>
    <row r="259">
      <c r="A259" s="16" t="n"/>
      <c r="B259" s="14" t="n"/>
      <c r="C259" s="14" t="n"/>
      <c r="D259" s="14" t="n"/>
      <c r="E259" s="10">
        <f>IF(D259="","",IFERROR(VLOOKUP(D259,選品庫!A:D,4,FALSE),"找不到"))</f>
        <v/>
      </c>
      <c r="F259" s="14" t="n"/>
      <c r="G259" s="14" t="n"/>
      <c r="H259" s="8" t="n"/>
      <c r="I259" s="8" t="n"/>
      <c r="J259" s="14" t="n"/>
    </row>
    <row r="260">
      <c r="A260" s="16" t="n"/>
      <c r="B260" s="14" t="n"/>
      <c r="C260" s="14" t="n"/>
      <c r="D260" s="14" t="n"/>
      <c r="E260" s="10">
        <f>IF(D260="","",IFERROR(VLOOKUP(D260,選品庫!A:D,4,FALSE),"找不到"))</f>
        <v/>
      </c>
      <c r="F260" s="14" t="n"/>
      <c r="G260" s="14" t="n"/>
      <c r="H260" s="8" t="n"/>
      <c r="I260" s="8" t="n"/>
      <c r="J260" s="14" t="n"/>
    </row>
    <row r="261">
      <c r="A261" s="16" t="n"/>
      <c r="B261" s="14" t="n"/>
      <c r="C261" s="14" t="n"/>
      <c r="D261" s="14" t="n"/>
      <c r="E261" s="10">
        <f>IF(D261="","",IFERROR(VLOOKUP(D261,選品庫!A:D,4,FALSE),"找不到"))</f>
        <v/>
      </c>
      <c r="F261" s="14" t="n"/>
      <c r="G261" s="14" t="n"/>
      <c r="H261" s="8" t="n"/>
      <c r="I261" s="8" t="n"/>
      <c r="J261" s="14" t="n"/>
    </row>
    <row r="262">
      <c r="A262" s="16" t="n"/>
      <c r="B262" s="14" t="n"/>
      <c r="C262" s="14" t="n"/>
      <c r="D262" s="14" t="n"/>
      <c r="E262" s="10">
        <f>IF(D262="","",IFERROR(VLOOKUP(D262,選品庫!A:D,4,FALSE),"找不到"))</f>
        <v/>
      </c>
      <c r="F262" s="14" t="n"/>
      <c r="G262" s="14" t="n"/>
      <c r="H262" s="8" t="n"/>
      <c r="I262" s="8" t="n"/>
      <c r="J262" s="14" t="n"/>
    </row>
    <row r="263">
      <c r="A263" s="16" t="n"/>
      <c r="B263" s="14" t="n"/>
      <c r="C263" s="14" t="n"/>
      <c r="D263" s="14" t="n"/>
      <c r="E263" s="10">
        <f>IF(D263="","",IFERROR(VLOOKUP(D263,選品庫!A:D,4,FALSE),"找不到"))</f>
        <v/>
      </c>
      <c r="F263" s="14" t="n"/>
      <c r="G263" s="14" t="n"/>
      <c r="H263" s="8" t="n"/>
      <c r="I263" s="8" t="n"/>
      <c r="J263" s="14" t="n"/>
    </row>
    <row r="264">
      <c r="A264" s="16" t="n"/>
      <c r="B264" s="14" t="n"/>
      <c r="C264" s="14" t="n"/>
      <c r="D264" s="14" t="n"/>
      <c r="E264" s="10">
        <f>IF(D264="","",IFERROR(VLOOKUP(D264,選品庫!A:D,4,FALSE),"找不到"))</f>
        <v/>
      </c>
      <c r="F264" s="14" t="n"/>
      <c r="G264" s="14" t="n"/>
      <c r="H264" s="8" t="n"/>
      <c r="I264" s="8" t="n"/>
      <c r="J264" s="14" t="n"/>
    </row>
    <row r="265">
      <c r="A265" s="16" t="n"/>
      <c r="B265" s="14" t="n"/>
      <c r="C265" s="14" t="n"/>
      <c r="D265" s="14" t="n"/>
      <c r="E265" s="10">
        <f>IF(D265="","",IFERROR(VLOOKUP(D265,選品庫!A:D,4,FALSE),"找不到"))</f>
        <v/>
      </c>
      <c r="F265" s="14" t="n"/>
      <c r="G265" s="14" t="n"/>
      <c r="H265" s="8" t="n"/>
      <c r="I265" s="8" t="n"/>
      <c r="J265" s="14" t="n"/>
    </row>
    <row r="266">
      <c r="A266" s="16" t="n"/>
      <c r="B266" s="14" t="n"/>
      <c r="C266" s="14" t="n"/>
      <c r="D266" s="14" t="n"/>
      <c r="E266" s="10">
        <f>IF(D266="","",IFERROR(VLOOKUP(D266,選品庫!A:D,4,FALSE),"找不到"))</f>
        <v/>
      </c>
      <c r="F266" s="14" t="n"/>
      <c r="G266" s="14" t="n"/>
      <c r="H266" s="8" t="n"/>
      <c r="I266" s="8" t="n"/>
      <c r="J266" s="14" t="n"/>
    </row>
    <row r="267">
      <c r="A267" s="16" t="n"/>
      <c r="B267" s="14" t="n"/>
      <c r="C267" s="14" t="n"/>
      <c r="D267" s="14" t="n"/>
      <c r="E267" s="10">
        <f>IF(D267="","",IFERROR(VLOOKUP(D267,選品庫!A:D,4,FALSE),"找不到"))</f>
        <v/>
      </c>
      <c r="F267" s="14" t="n"/>
      <c r="G267" s="14" t="n"/>
      <c r="H267" s="8" t="n"/>
      <c r="I267" s="8" t="n"/>
      <c r="J267" s="14" t="n"/>
    </row>
    <row r="268">
      <c r="A268" s="16" t="n"/>
      <c r="B268" s="14" t="n"/>
      <c r="C268" s="14" t="n"/>
      <c r="D268" s="14" t="n"/>
      <c r="E268" s="10">
        <f>IF(D268="","",IFERROR(VLOOKUP(D268,選品庫!A:D,4,FALSE),"找不到"))</f>
        <v/>
      </c>
      <c r="F268" s="14" t="n"/>
      <c r="G268" s="14" t="n"/>
      <c r="H268" s="8" t="n"/>
      <c r="I268" s="8" t="n"/>
      <c r="J268" s="14" t="n"/>
    </row>
    <row r="269">
      <c r="A269" s="16" t="n"/>
      <c r="B269" s="14" t="n"/>
      <c r="C269" s="14" t="n"/>
      <c r="D269" s="14" t="n"/>
      <c r="E269" s="10">
        <f>IF(D269="","",IFERROR(VLOOKUP(D269,選品庫!A:D,4,FALSE),"找不到"))</f>
        <v/>
      </c>
      <c r="F269" s="14" t="n"/>
      <c r="G269" s="14" t="n"/>
      <c r="H269" s="8" t="n"/>
      <c r="I269" s="8" t="n"/>
      <c r="J269" s="14" t="n"/>
    </row>
    <row r="270">
      <c r="A270" s="16" t="n"/>
      <c r="B270" s="14" t="n"/>
      <c r="C270" s="14" t="n"/>
      <c r="D270" s="14" t="n"/>
      <c r="E270" s="10">
        <f>IF(D270="","",IFERROR(VLOOKUP(D270,選品庫!A:D,4,FALSE),"找不到"))</f>
        <v/>
      </c>
      <c r="F270" s="14" t="n"/>
      <c r="G270" s="14" t="n"/>
      <c r="H270" s="8" t="n"/>
      <c r="I270" s="8" t="n"/>
      <c r="J270" s="14" t="n"/>
    </row>
    <row r="271">
      <c r="A271" s="16" t="n"/>
      <c r="B271" s="14" t="n"/>
      <c r="C271" s="14" t="n"/>
      <c r="D271" s="14" t="n"/>
      <c r="E271" s="10">
        <f>IF(D271="","",IFERROR(VLOOKUP(D271,選品庫!A:D,4,FALSE),"找不到"))</f>
        <v/>
      </c>
      <c r="F271" s="14" t="n"/>
      <c r="G271" s="14" t="n"/>
      <c r="H271" s="8" t="n"/>
      <c r="I271" s="8" t="n"/>
      <c r="J271" s="14" t="n"/>
    </row>
    <row r="272">
      <c r="A272" s="16" t="n"/>
      <c r="B272" s="14" t="n"/>
      <c r="C272" s="14" t="n"/>
      <c r="D272" s="14" t="n"/>
      <c r="E272" s="10">
        <f>IF(D272="","",IFERROR(VLOOKUP(D272,選品庫!A:D,4,FALSE),"找不到"))</f>
        <v/>
      </c>
      <c r="F272" s="14" t="n"/>
      <c r="G272" s="14" t="n"/>
      <c r="H272" s="8" t="n"/>
      <c r="I272" s="8" t="n"/>
      <c r="J272" s="14" t="n"/>
    </row>
    <row r="273">
      <c r="A273" s="16" t="n"/>
      <c r="B273" s="14" t="n"/>
      <c r="C273" s="14" t="n"/>
      <c r="D273" s="14" t="n"/>
      <c r="E273" s="10">
        <f>IF(D273="","",IFERROR(VLOOKUP(D273,選品庫!A:D,4,FALSE),"找不到"))</f>
        <v/>
      </c>
      <c r="F273" s="14" t="n"/>
      <c r="G273" s="14" t="n"/>
      <c r="H273" s="8" t="n"/>
      <c r="I273" s="8" t="n"/>
      <c r="J273" s="14" t="n"/>
    </row>
    <row r="274">
      <c r="A274" s="16" t="n"/>
      <c r="B274" s="14" t="n"/>
      <c r="C274" s="14" t="n"/>
      <c r="D274" s="14" t="n"/>
      <c r="E274" s="10">
        <f>IF(D274="","",IFERROR(VLOOKUP(D274,選品庫!A:D,4,FALSE),"找不到"))</f>
        <v/>
      </c>
      <c r="F274" s="14" t="n"/>
      <c r="G274" s="14" t="n"/>
      <c r="H274" s="8" t="n"/>
      <c r="I274" s="8" t="n"/>
      <c r="J274" s="14" t="n"/>
    </row>
    <row r="275">
      <c r="A275" s="16" t="n"/>
      <c r="B275" s="14" t="n"/>
      <c r="C275" s="14" t="n"/>
      <c r="D275" s="14" t="n"/>
      <c r="E275" s="10">
        <f>IF(D275="","",IFERROR(VLOOKUP(D275,選品庫!A:D,4,FALSE),"找不到"))</f>
        <v/>
      </c>
      <c r="F275" s="14" t="n"/>
      <c r="G275" s="14" t="n"/>
      <c r="H275" s="8" t="n"/>
      <c r="I275" s="8" t="n"/>
      <c r="J275" s="14" t="n"/>
    </row>
    <row r="276">
      <c r="A276" s="16" t="n"/>
      <c r="B276" s="14" t="n"/>
      <c r="C276" s="14" t="n"/>
      <c r="D276" s="14" t="n"/>
      <c r="E276" s="10">
        <f>IF(D276="","",IFERROR(VLOOKUP(D276,選品庫!A:D,4,FALSE),"找不到"))</f>
        <v/>
      </c>
      <c r="F276" s="14" t="n"/>
      <c r="G276" s="14" t="n"/>
      <c r="H276" s="8" t="n"/>
      <c r="I276" s="8" t="n"/>
      <c r="J276" s="14" t="n"/>
    </row>
    <row r="277">
      <c r="A277" s="16" t="n"/>
      <c r="B277" s="14" t="n"/>
      <c r="C277" s="14" t="n"/>
      <c r="D277" s="14" t="n"/>
      <c r="E277" s="10">
        <f>IF(D277="","",IFERROR(VLOOKUP(D277,選品庫!A:D,4,FALSE),"找不到"))</f>
        <v/>
      </c>
      <c r="F277" s="14" t="n"/>
      <c r="G277" s="14" t="n"/>
      <c r="H277" s="8" t="n"/>
      <c r="I277" s="8" t="n"/>
      <c r="J277" s="14" t="n"/>
    </row>
    <row r="278">
      <c r="A278" s="16" t="n"/>
      <c r="B278" s="14" t="n"/>
      <c r="C278" s="14" t="n"/>
      <c r="D278" s="14" t="n"/>
      <c r="E278" s="10">
        <f>IF(D278="","",IFERROR(VLOOKUP(D278,選品庫!A:D,4,FALSE),"找不到"))</f>
        <v/>
      </c>
      <c r="F278" s="14" t="n"/>
      <c r="G278" s="14" t="n"/>
      <c r="H278" s="8" t="n"/>
      <c r="I278" s="8" t="n"/>
      <c r="J278" s="14" t="n"/>
    </row>
    <row r="279">
      <c r="A279" s="16" t="n"/>
      <c r="B279" s="14" t="n"/>
      <c r="C279" s="14" t="n"/>
      <c r="D279" s="14" t="n"/>
      <c r="E279" s="10">
        <f>IF(D279="","",IFERROR(VLOOKUP(D279,選品庫!A:D,4,FALSE),"找不到"))</f>
        <v/>
      </c>
      <c r="F279" s="14" t="n"/>
      <c r="G279" s="14" t="n"/>
      <c r="H279" s="8" t="n"/>
      <c r="I279" s="8" t="n"/>
      <c r="J279" s="14" t="n"/>
    </row>
    <row r="280">
      <c r="A280" s="16" t="n"/>
      <c r="B280" s="14" t="n"/>
      <c r="C280" s="14" t="n"/>
      <c r="D280" s="14" t="n"/>
      <c r="E280" s="10">
        <f>IF(D280="","",IFERROR(VLOOKUP(D280,選品庫!A:D,4,FALSE),"找不到"))</f>
        <v/>
      </c>
      <c r="F280" s="14" t="n"/>
      <c r="G280" s="14" t="n"/>
      <c r="H280" s="8" t="n"/>
      <c r="I280" s="8" t="n"/>
      <c r="J280" s="14" t="n"/>
    </row>
    <row r="281">
      <c r="A281" s="16" t="n"/>
      <c r="B281" s="14" t="n"/>
      <c r="C281" s="14" t="n"/>
      <c r="D281" s="14" t="n"/>
      <c r="E281" s="10">
        <f>IF(D281="","",IFERROR(VLOOKUP(D281,選品庫!A:D,4,FALSE),"找不到"))</f>
        <v/>
      </c>
      <c r="F281" s="14" t="n"/>
      <c r="G281" s="14" t="n"/>
      <c r="H281" s="8" t="n"/>
      <c r="I281" s="8" t="n"/>
      <c r="J281" s="14" t="n"/>
    </row>
    <row r="282">
      <c r="A282" s="16" t="n"/>
      <c r="B282" s="14" t="n"/>
      <c r="C282" s="14" t="n"/>
      <c r="D282" s="14" t="n"/>
      <c r="E282" s="10">
        <f>IF(D282="","",IFERROR(VLOOKUP(D282,選品庫!A:D,4,FALSE),"找不到"))</f>
        <v/>
      </c>
      <c r="F282" s="14" t="n"/>
      <c r="G282" s="14" t="n"/>
      <c r="H282" s="8" t="n"/>
      <c r="I282" s="8" t="n"/>
      <c r="J282" s="14" t="n"/>
    </row>
    <row r="283">
      <c r="A283" s="16" t="n"/>
      <c r="B283" s="14" t="n"/>
      <c r="C283" s="14" t="n"/>
      <c r="D283" s="14" t="n"/>
      <c r="E283" s="10">
        <f>IF(D283="","",IFERROR(VLOOKUP(D283,選品庫!A:D,4,FALSE),"找不到"))</f>
        <v/>
      </c>
      <c r="F283" s="14" t="n"/>
      <c r="G283" s="14" t="n"/>
      <c r="H283" s="8" t="n"/>
      <c r="I283" s="8" t="n"/>
      <c r="J283" s="14" t="n"/>
    </row>
    <row r="284">
      <c r="A284" s="16" t="n"/>
      <c r="B284" s="14" t="n"/>
      <c r="C284" s="14" t="n"/>
      <c r="D284" s="14" t="n"/>
      <c r="E284" s="10">
        <f>IF(D284="","",IFERROR(VLOOKUP(D284,選品庫!A:D,4,FALSE),"找不到"))</f>
        <v/>
      </c>
      <c r="F284" s="14" t="n"/>
      <c r="G284" s="14" t="n"/>
      <c r="H284" s="8" t="n"/>
      <c r="I284" s="8" t="n"/>
      <c r="J284" s="14" t="n"/>
    </row>
    <row r="285">
      <c r="A285" s="16" t="n"/>
      <c r="B285" s="14" t="n"/>
      <c r="C285" s="14" t="n"/>
      <c r="D285" s="14" t="n"/>
      <c r="E285" s="10">
        <f>IF(D285="","",IFERROR(VLOOKUP(D285,選品庫!A:D,4,FALSE),"找不到"))</f>
        <v/>
      </c>
      <c r="F285" s="14" t="n"/>
      <c r="G285" s="14" t="n"/>
      <c r="H285" s="8" t="n"/>
      <c r="I285" s="8" t="n"/>
      <c r="J285" s="14" t="n"/>
    </row>
    <row r="286">
      <c r="A286" s="16" t="n"/>
      <c r="B286" s="14" t="n"/>
      <c r="C286" s="14" t="n"/>
      <c r="D286" s="14" t="n"/>
      <c r="E286" s="10">
        <f>IF(D286="","",IFERROR(VLOOKUP(D286,選品庫!A:D,4,FALSE),"找不到"))</f>
        <v/>
      </c>
      <c r="F286" s="14" t="n"/>
      <c r="G286" s="14" t="n"/>
      <c r="H286" s="8" t="n"/>
      <c r="I286" s="8" t="n"/>
      <c r="J286" s="14" t="n"/>
    </row>
    <row r="287">
      <c r="A287" s="16" t="n"/>
      <c r="B287" s="14" t="n"/>
      <c r="C287" s="14" t="n"/>
      <c r="D287" s="14" t="n"/>
      <c r="E287" s="10">
        <f>IF(D287="","",IFERROR(VLOOKUP(D287,選品庫!A:D,4,FALSE),"找不到"))</f>
        <v/>
      </c>
      <c r="F287" s="14" t="n"/>
      <c r="G287" s="14" t="n"/>
      <c r="H287" s="8" t="n"/>
      <c r="I287" s="8" t="n"/>
      <c r="J287" s="14" t="n"/>
    </row>
    <row r="288">
      <c r="A288" s="16" t="n"/>
      <c r="B288" s="14" t="n"/>
      <c r="C288" s="14" t="n"/>
      <c r="D288" s="14" t="n"/>
      <c r="E288" s="10">
        <f>IF(D288="","",IFERROR(VLOOKUP(D288,選品庫!A:D,4,FALSE),"找不到"))</f>
        <v/>
      </c>
      <c r="F288" s="14" t="n"/>
      <c r="G288" s="14" t="n"/>
      <c r="H288" s="8" t="n"/>
      <c r="I288" s="8" t="n"/>
      <c r="J288" s="14" t="n"/>
    </row>
    <row r="289">
      <c r="A289" s="16" t="n"/>
      <c r="B289" s="14" t="n"/>
      <c r="C289" s="14" t="n"/>
      <c r="D289" s="14" t="n"/>
      <c r="E289" s="10">
        <f>IF(D289="","",IFERROR(VLOOKUP(D289,選品庫!A:D,4,FALSE),"找不到"))</f>
        <v/>
      </c>
      <c r="F289" s="14" t="n"/>
      <c r="G289" s="14" t="n"/>
      <c r="H289" s="8" t="n"/>
      <c r="I289" s="8" t="n"/>
      <c r="J289" s="14" t="n"/>
    </row>
    <row r="290">
      <c r="A290" s="16" t="n"/>
      <c r="B290" s="14" t="n"/>
      <c r="C290" s="14" t="n"/>
      <c r="D290" s="14" t="n"/>
      <c r="E290" s="10">
        <f>IF(D290="","",IFERROR(VLOOKUP(D290,選品庫!A:D,4,FALSE),"找不到"))</f>
        <v/>
      </c>
      <c r="F290" s="14" t="n"/>
      <c r="G290" s="14" t="n"/>
      <c r="H290" s="8" t="n"/>
      <c r="I290" s="8" t="n"/>
      <c r="J290" s="14" t="n"/>
    </row>
    <row r="291">
      <c r="A291" s="16" t="n"/>
      <c r="B291" s="14" t="n"/>
      <c r="C291" s="14" t="n"/>
      <c r="D291" s="14" t="n"/>
      <c r="E291" s="10">
        <f>IF(D291="","",IFERROR(VLOOKUP(D291,選品庫!A:D,4,FALSE),"找不到"))</f>
        <v/>
      </c>
      <c r="F291" s="14" t="n"/>
      <c r="G291" s="14" t="n"/>
      <c r="H291" s="8" t="n"/>
      <c r="I291" s="8" t="n"/>
      <c r="J291" s="14" t="n"/>
    </row>
    <row r="292">
      <c r="A292" s="16" t="n"/>
      <c r="B292" s="14" t="n"/>
      <c r="C292" s="14" t="n"/>
      <c r="D292" s="14" t="n"/>
      <c r="E292" s="10">
        <f>IF(D292="","",IFERROR(VLOOKUP(D292,選品庫!A:D,4,FALSE),"找不到"))</f>
        <v/>
      </c>
      <c r="F292" s="14" t="n"/>
      <c r="G292" s="14" t="n"/>
      <c r="H292" s="8" t="n"/>
      <c r="I292" s="8" t="n"/>
      <c r="J292" s="14" t="n"/>
    </row>
    <row r="293">
      <c r="A293" s="16" t="n"/>
      <c r="B293" s="14" t="n"/>
      <c r="C293" s="14" t="n"/>
      <c r="D293" s="14" t="n"/>
      <c r="E293" s="10">
        <f>IF(D293="","",IFERROR(VLOOKUP(D293,選品庫!A:D,4,FALSE),"找不到"))</f>
        <v/>
      </c>
      <c r="F293" s="14" t="n"/>
      <c r="G293" s="14" t="n"/>
      <c r="H293" s="8" t="n"/>
      <c r="I293" s="8" t="n"/>
      <c r="J293" s="14" t="n"/>
    </row>
    <row r="294">
      <c r="A294" s="16" t="n"/>
      <c r="B294" s="14" t="n"/>
      <c r="C294" s="14" t="n"/>
      <c r="D294" s="14" t="n"/>
      <c r="E294" s="10">
        <f>IF(D294="","",IFERROR(VLOOKUP(D294,選品庫!A:D,4,FALSE),"找不到"))</f>
        <v/>
      </c>
      <c r="F294" s="14" t="n"/>
      <c r="G294" s="14" t="n"/>
      <c r="H294" s="8" t="n"/>
      <c r="I294" s="8" t="n"/>
      <c r="J294" s="14" t="n"/>
    </row>
    <row r="295">
      <c r="A295" s="16" t="n"/>
      <c r="B295" s="14" t="n"/>
      <c r="C295" s="14" t="n"/>
      <c r="D295" s="14" t="n"/>
      <c r="E295" s="10">
        <f>IF(D295="","",IFERROR(VLOOKUP(D295,選品庫!A:D,4,FALSE),"找不到"))</f>
        <v/>
      </c>
      <c r="F295" s="14" t="n"/>
      <c r="G295" s="14" t="n"/>
      <c r="H295" s="8" t="n"/>
      <c r="I295" s="8" t="n"/>
      <c r="J295" s="14" t="n"/>
    </row>
    <row r="296">
      <c r="A296" s="16" t="n"/>
      <c r="B296" s="14" t="n"/>
      <c r="C296" s="14" t="n"/>
      <c r="D296" s="14" t="n"/>
      <c r="E296" s="10">
        <f>IF(D296="","",IFERROR(VLOOKUP(D296,選品庫!A:D,4,FALSE),"找不到"))</f>
        <v/>
      </c>
      <c r="F296" s="14" t="n"/>
      <c r="G296" s="14" t="n"/>
      <c r="H296" s="8" t="n"/>
      <c r="I296" s="8" t="n"/>
      <c r="J296" s="14" t="n"/>
    </row>
    <row r="297">
      <c r="A297" s="16" t="n"/>
      <c r="B297" s="14" t="n"/>
      <c r="C297" s="14" t="n"/>
      <c r="D297" s="14" t="n"/>
      <c r="E297" s="10">
        <f>IF(D297="","",IFERROR(VLOOKUP(D297,選品庫!A:D,4,FALSE),"找不到"))</f>
        <v/>
      </c>
      <c r="F297" s="14" t="n"/>
      <c r="G297" s="14" t="n"/>
      <c r="H297" s="8" t="n"/>
      <c r="I297" s="8" t="n"/>
      <c r="J297" s="14" t="n"/>
    </row>
    <row r="298">
      <c r="A298" s="16" t="n"/>
      <c r="B298" s="14" t="n"/>
      <c r="C298" s="14" t="n"/>
      <c r="D298" s="14" t="n"/>
      <c r="E298" s="10">
        <f>IF(D298="","",IFERROR(VLOOKUP(D298,選品庫!A:D,4,FALSE),"找不到"))</f>
        <v/>
      </c>
      <c r="F298" s="14" t="n"/>
      <c r="G298" s="14" t="n"/>
      <c r="H298" s="8" t="n"/>
      <c r="I298" s="8" t="n"/>
      <c r="J298" s="14" t="n"/>
    </row>
    <row r="299">
      <c r="A299" s="16" t="n"/>
      <c r="B299" s="14" t="n"/>
      <c r="C299" s="14" t="n"/>
      <c r="D299" s="14" t="n"/>
      <c r="E299" s="10">
        <f>IF(D299="","",IFERROR(VLOOKUP(D299,選品庫!A:D,4,FALSE),"找不到"))</f>
        <v/>
      </c>
      <c r="F299" s="14" t="n"/>
      <c r="G299" s="14" t="n"/>
      <c r="H299" s="8" t="n"/>
      <c r="I299" s="8" t="n"/>
      <c r="J299" s="14" t="n"/>
    </row>
    <row r="300">
      <c r="A300" s="16" t="n"/>
      <c r="B300" s="14" t="n"/>
      <c r="C300" s="14" t="n"/>
      <c r="D300" s="14" t="n"/>
      <c r="E300" s="10">
        <f>IF(D300="","",IFERROR(VLOOKUP(D300,選品庫!A:D,4,FALSE),"找不到"))</f>
        <v/>
      </c>
      <c r="F300" s="14" t="n"/>
      <c r="G300" s="14" t="n"/>
      <c r="H300" s="8" t="n"/>
      <c r="I300" s="8" t="n"/>
      <c r="J300" s="14" t="n"/>
    </row>
    <row r="301">
      <c r="A301" s="16" t="n"/>
      <c r="B301" s="14" t="n"/>
      <c r="C301" s="14" t="n"/>
      <c r="D301" s="14" t="n"/>
      <c r="E301" s="10">
        <f>IF(D301="","",IFERROR(VLOOKUP(D301,選品庫!A:D,4,FALSE),"找不到"))</f>
        <v/>
      </c>
      <c r="F301" s="14" t="n"/>
      <c r="G301" s="14" t="n"/>
      <c r="H301" s="8" t="n"/>
      <c r="I301" s="8" t="n"/>
      <c r="J301" s="14" t="n"/>
    </row>
    <row r="302">
      <c r="A302" s="16" t="n"/>
      <c r="B302" s="14" t="n"/>
      <c r="C302" s="14" t="n"/>
      <c r="D302" s="14" t="n"/>
      <c r="E302" s="10">
        <f>IF(D302="","",IFERROR(VLOOKUP(D302,選品庫!A:D,4,FALSE),"找不到"))</f>
        <v/>
      </c>
      <c r="F302" s="14" t="n"/>
      <c r="G302" s="14" t="n"/>
      <c r="H302" s="8" t="n"/>
      <c r="I302" s="8" t="n"/>
      <c r="J302" s="14" t="n"/>
    </row>
    <row r="303">
      <c r="A303" s="16" t="n"/>
      <c r="B303" s="14" t="n"/>
      <c r="C303" s="14" t="n"/>
      <c r="D303" s="14" t="n"/>
      <c r="E303" s="10">
        <f>IF(D303="","",IFERROR(VLOOKUP(D303,選品庫!A:D,4,FALSE),"找不到"))</f>
        <v/>
      </c>
      <c r="F303" s="14" t="n"/>
      <c r="G303" s="14" t="n"/>
      <c r="H303" s="8" t="n"/>
      <c r="I303" s="8" t="n"/>
      <c r="J303" s="14" t="n"/>
    </row>
    <row r="304">
      <c r="A304" s="16" t="n"/>
      <c r="B304" s="14" t="n"/>
      <c r="C304" s="14" t="n"/>
      <c r="D304" s="14" t="n"/>
      <c r="E304" s="10">
        <f>IF(D304="","",IFERROR(VLOOKUP(D304,選品庫!A:D,4,FALSE),"找不到"))</f>
        <v/>
      </c>
      <c r="F304" s="14" t="n"/>
      <c r="G304" s="14" t="n"/>
      <c r="H304" s="8" t="n"/>
      <c r="I304" s="8" t="n"/>
      <c r="J304" s="14" t="n"/>
    </row>
    <row r="305">
      <c r="A305" s="16" t="n"/>
      <c r="B305" s="14" t="n"/>
      <c r="C305" s="14" t="n"/>
      <c r="D305" s="14" t="n"/>
      <c r="E305" s="10">
        <f>IF(D305="","",IFERROR(VLOOKUP(D305,選品庫!A:D,4,FALSE),"找不到"))</f>
        <v/>
      </c>
      <c r="F305" s="14" t="n"/>
      <c r="G305" s="14" t="n"/>
      <c r="H305" s="8" t="n"/>
      <c r="I305" s="8" t="n"/>
      <c r="J305" s="14" t="n"/>
    </row>
    <row r="306">
      <c r="A306" s="16" t="n"/>
      <c r="B306" s="14" t="n"/>
      <c r="C306" s="14" t="n"/>
      <c r="D306" s="14" t="n"/>
      <c r="E306" s="10">
        <f>IF(D306="","",IFERROR(VLOOKUP(D306,選品庫!A:D,4,FALSE),"找不到"))</f>
        <v/>
      </c>
      <c r="F306" s="14" t="n"/>
      <c r="G306" s="14" t="n"/>
      <c r="H306" s="8" t="n"/>
      <c r="I306" s="8" t="n"/>
      <c r="J306" s="14" t="n"/>
    </row>
    <row r="307">
      <c r="A307" s="16" t="n"/>
      <c r="B307" s="14" t="n"/>
      <c r="C307" s="14" t="n"/>
      <c r="D307" s="14" t="n"/>
      <c r="E307" s="10">
        <f>IF(D307="","",IFERROR(VLOOKUP(D307,選品庫!A:D,4,FALSE),"找不到"))</f>
        <v/>
      </c>
      <c r="F307" s="14" t="n"/>
      <c r="G307" s="14" t="n"/>
      <c r="H307" s="8" t="n"/>
      <c r="I307" s="8" t="n"/>
      <c r="J307" s="14" t="n"/>
    </row>
    <row r="308">
      <c r="A308" s="16" t="n"/>
      <c r="B308" s="14" t="n"/>
      <c r="C308" s="14" t="n"/>
      <c r="D308" s="14" t="n"/>
      <c r="E308" s="10">
        <f>IF(D308="","",IFERROR(VLOOKUP(D308,選品庫!A:D,4,FALSE),"找不到"))</f>
        <v/>
      </c>
      <c r="F308" s="14" t="n"/>
      <c r="G308" s="14" t="n"/>
      <c r="H308" s="8" t="n"/>
      <c r="I308" s="8" t="n"/>
      <c r="J308" s="14" t="n"/>
    </row>
    <row r="309">
      <c r="A309" s="16" t="n"/>
      <c r="B309" s="14" t="n"/>
      <c r="C309" s="14" t="n"/>
      <c r="D309" s="14" t="n"/>
      <c r="E309" s="10">
        <f>IF(D309="","",IFERROR(VLOOKUP(D309,選品庫!A:D,4,FALSE),"找不到"))</f>
        <v/>
      </c>
      <c r="F309" s="14" t="n"/>
      <c r="G309" s="14" t="n"/>
      <c r="H309" s="8" t="n"/>
      <c r="I309" s="8" t="n"/>
      <c r="J309" s="14" t="n"/>
    </row>
    <row r="310">
      <c r="A310" s="16" t="n"/>
      <c r="B310" s="14" t="n"/>
      <c r="C310" s="14" t="n"/>
      <c r="D310" s="14" t="n"/>
      <c r="E310" s="10">
        <f>IF(D310="","",IFERROR(VLOOKUP(D310,選品庫!A:D,4,FALSE),"找不到"))</f>
        <v/>
      </c>
      <c r="F310" s="14" t="n"/>
      <c r="G310" s="14" t="n"/>
      <c r="H310" s="8" t="n"/>
      <c r="I310" s="8" t="n"/>
      <c r="J310" s="14" t="n"/>
    </row>
    <row r="311">
      <c r="A311" s="16" t="n"/>
      <c r="B311" s="14" t="n"/>
      <c r="C311" s="14" t="n"/>
      <c r="D311" s="14" t="n"/>
      <c r="E311" s="10">
        <f>IF(D311="","",IFERROR(VLOOKUP(D311,選品庫!A:D,4,FALSE),"找不到"))</f>
        <v/>
      </c>
      <c r="F311" s="14" t="n"/>
      <c r="G311" s="14" t="n"/>
      <c r="H311" s="8" t="n"/>
      <c r="I311" s="8" t="n"/>
      <c r="J311" s="14" t="n"/>
    </row>
    <row r="312">
      <c r="A312" s="16" t="n"/>
      <c r="B312" s="14" t="n"/>
      <c r="C312" s="14" t="n"/>
      <c r="D312" s="14" t="n"/>
      <c r="E312" s="10">
        <f>IF(D312="","",IFERROR(VLOOKUP(D312,選品庫!A:D,4,FALSE),"找不到"))</f>
        <v/>
      </c>
      <c r="F312" s="14" t="n"/>
      <c r="G312" s="14" t="n"/>
      <c r="H312" s="8" t="n"/>
      <c r="I312" s="8" t="n"/>
      <c r="J312" s="14" t="n"/>
    </row>
    <row r="313">
      <c r="A313" s="16" t="n"/>
      <c r="B313" s="14" t="n"/>
      <c r="C313" s="14" t="n"/>
      <c r="D313" s="14" t="n"/>
      <c r="E313" s="10">
        <f>IF(D313="","",IFERROR(VLOOKUP(D313,選品庫!A:D,4,FALSE),"找不到"))</f>
        <v/>
      </c>
      <c r="F313" s="14" t="n"/>
      <c r="G313" s="14" t="n"/>
      <c r="H313" s="8" t="n"/>
      <c r="I313" s="8" t="n"/>
      <c r="J313" s="14" t="n"/>
    </row>
    <row r="314">
      <c r="A314" s="16" t="n"/>
      <c r="B314" s="14" t="n"/>
      <c r="C314" s="14" t="n"/>
      <c r="D314" s="14" t="n"/>
      <c r="E314" s="10">
        <f>IF(D314="","",IFERROR(VLOOKUP(D314,選品庫!A:D,4,FALSE),"找不到"))</f>
        <v/>
      </c>
      <c r="F314" s="14" t="n"/>
      <c r="G314" s="14" t="n"/>
      <c r="H314" s="8" t="n"/>
      <c r="I314" s="8" t="n"/>
      <c r="J314" s="14" t="n"/>
    </row>
    <row r="315">
      <c r="A315" s="16" t="n"/>
      <c r="B315" s="14" t="n"/>
      <c r="C315" s="14" t="n"/>
      <c r="D315" s="14" t="n"/>
      <c r="E315" s="10">
        <f>IF(D315="","",IFERROR(VLOOKUP(D315,選品庫!A:D,4,FALSE),"找不到"))</f>
        <v/>
      </c>
      <c r="F315" s="14" t="n"/>
      <c r="G315" s="14" t="n"/>
      <c r="H315" s="8" t="n"/>
      <c r="I315" s="8" t="n"/>
      <c r="J315" s="14" t="n"/>
    </row>
    <row r="316">
      <c r="A316" s="16" t="n"/>
      <c r="B316" s="14" t="n"/>
      <c r="C316" s="14" t="n"/>
      <c r="D316" s="14" t="n"/>
      <c r="E316" s="10">
        <f>IF(D316="","",IFERROR(VLOOKUP(D316,選品庫!A:D,4,FALSE),"找不到"))</f>
        <v/>
      </c>
      <c r="F316" s="14" t="n"/>
      <c r="G316" s="14" t="n"/>
      <c r="H316" s="8" t="n"/>
      <c r="I316" s="8" t="n"/>
      <c r="J316" s="14" t="n"/>
    </row>
    <row r="317">
      <c r="A317" s="16" t="n"/>
      <c r="B317" s="14" t="n"/>
      <c r="C317" s="14" t="n"/>
      <c r="D317" s="14" t="n"/>
      <c r="E317" s="10">
        <f>IF(D317="","",IFERROR(VLOOKUP(D317,選品庫!A:D,4,FALSE),"找不到"))</f>
        <v/>
      </c>
      <c r="F317" s="14" t="n"/>
      <c r="G317" s="14" t="n"/>
      <c r="H317" s="8" t="n"/>
      <c r="I317" s="8" t="n"/>
      <c r="J317" s="14" t="n"/>
    </row>
    <row r="318">
      <c r="A318" s="16" t="n"/>
      <c r="B318" s="14" t="n"/>
      <c r="C318" s="14" t="n"/>
      <c r="D318" s="14" t="n"/>
      <c r="E318" s="10">
        <f>IF(D318="","",IFERROR(VLOOKUP(D318,選品庫!A:D,4,FALSE),"找不到"))</f>
        <v/>
      </c>
      <c r="F318" s="14" t="n"/>
      <c r="G318" s="14" t="n"/>
      <c r="H318" s="8" t="n"/>
      <c r="I318" s="8" t="n"/>
      <c r="J318" s="14" t="n"/>
    </row>
    <row r="319">
      <c r="A319" s="16" t="n"/>
      <c r="B319" s="14" t="n"/>
      <c r="C319" s="14" t="n"/>
      <c r="D319" s="14" t="n"/>
      <c r="E319" s="10">
        <f>IF(D319="","",IFERROR(VLOOKUP(D319,選品庫!A:D,4,FALSE),"找不到"))</f>
        <v/>
      </c>
      <c r="F319" s="14" t="n"/>
      <c r="G319" s="14" t="n"/>
      <c r="H319" s="8" t="n"/>
      <c r="I319" s="8" t="n"/>
      <c r="J319" s="14" t="n"/>
    </row>
    <row r="320">
      <c r="A320" s="16" t="n"/>
      <c r="B320" s="14" t="n"/>
      <c r="C320" s="14" t="n"/>
      <c r="D320" s="14" t="n"/>
      <c r="E320" s="10">
        <f>IF(D320="","",IFERROR(VLOOKUP(D320,選品庫!A:D,4,FALSE),"找不到"))</f>
        <v/>
      </c>
      <c r="F320" s="14" t="n"/>
      <c r="G320" s="14" t="n"/>
      <c r="H320" s="8" t="n"/>
      <c r="I320" s="8" t="n"/>
      <c r="J320" s="14" t="n"/>
    </row>
    <row r="321">
      <c r="A321" s="16" t="n"/>
      <c r="B321" s="14" t="n"/>
      <c r="C321" s="14" t="n"/>
      <c r="D321" s="14" t="n"/>
      <c r="E321" s="10">
        <f>IF(D321="","",IFERROR(VLOOKUP(D321,選品庫!A:D,4,FALSE),"找不到"))</f>
        <v/>
      </c>
      <c r="F321" s="14" t="n"/>
      <c r="G321" s="14" t="n"/>
      <c r="H321" s="8" t="n"/>
      <c r="I321" s="8" t="n"/>
      <c r="J321" s="14" t="n"/>
    </row>
    <row r="322">
      <c r="A322" s="16" t="n"/>
      <c r="B322" s="14" t="n"/>
      <c r="C322" s="14" t="n"/>
      <c r="D322" s="14" t="n"/>
      <c r="E322" s="10">
        <f>IF(D322="","",IFERROR(VLOOKUP(D322,選品庫!A:D,4,FALSE),"找不到"))</f>
        <v/>
      </c>
      <c r="F322" s="14" t="n"/>
      <c r="G322" s="14" t="n"/>
      <c r="H322" s="8" t="n"/>
      <c r="I322" s="8" t="n"/>
      <c r="J322" s="14" t="n"/>
    </row>
    <row r="323">
      <c r="A323" s="16" t="n"/>
      <c r="B323" s="14" t="n"/>
      <c r="C323" s="14" t="n"/>
      <c r="D323" s="14" t="n"/>
      <c r="E323" s="10">
        <f>IF(D323="","",IFERROR(VLOOKUP(D323,選品庫!A:D,4,FALSE),"找不到"))</f>
        <v/>
      </c>
      <c r="F323" s="14" t="n"/>
      <c r="G323" s="14" t="n"/>
      <c r="H323" s="8" t="n"/>
      <c r="I323" s="8" t="n"/>
      <c r="J323" s="14" t="n"/>
    </row>
    <row r="324">
      <c r="A324" s="16" t="n"/>
      <c r="B324" s="14" t="n"/>
      <c r="C324" s="14" t="n"/>
      <c r="D324" s="14" t="n"/>
      <c r="E324" s="10">
        <f>IF(D324="","",IFERROR(VLOOKUP(D324,選品庫!A:D,4,FALSE),"找不到"))</f>
        <v/>
      </c>
      <c r="F324" s="14" t="n"/>
      <c r="G324" s="14" t="n"/>
      <c r="H324" s="8" t="n"/>
      <c r="I324" s="8" t="n"/>
      <c r="J324" s="14" t="n"/>
    </row>
    <row r="325">
      <c r="A325" s="16" t="n"/>
      <c r="B325" s="14" t="n"/>
      <c r="C325" s="14" t="n"/>
      <c r="D325" s="14" t="n"/>
      <c r="E325" s="10">
        <f>IF(D325="","",IFERROR(VLOOKUP(D325,選品庫!A:D,4,FALSE),"找不到"))</f>
        <v/>
      </c>
      <c r="F325" s="14" t="n"/>
      <c r="G325" s="14" t="n"/>
      <c r="H325" s="8" t="n"/>
      <c r="I325" s="8" t="n"/>
      <c r="J325" s="14" t="n"/>
    </row>
    <row r="326">
      <c r="A326" s="16" t="n"/>
      <c r="B326" s="14" t="n"/>
      <c r="C326" s="14" t="n"/>
      <c r="D326" s="14" t="n"/>
      <c r="E326" s="10">
        <f>IF(D326="","",IFERROR(VLOOKUP(D326,選品庫!A:D,4,FALSE),"找不到"))</f>
        <v/>
      </c>
      <c r="F326" s="14" t="n"/>
      <c r="G326" s="14" t="n"/>
      <c r="H326" s="8" t="n"/>
      <c r="I326" s="8" t="n"/>
      <c r="J326" s="14" t="n"/>
    </row>
    <row r="327">
      <c r="A327" s="16" t="n"/>
      <c r="B327" s="14" t="n"/>
      <c r="C327" s="14" t="n"/>
      <c r="D327" s="14" t="n"/>
      <c r="E327" s="10">
        <f>IF(D327="","",IFERROR(VLOOKUP(D327,選品庫!A:D,4,FALSE),"找不到"))</f>
        <v/>
      </c>
      <c r="F327" s="14" t="n"/>
      <c r="G327" s="14" t="n"/>
      <c r="H327" s="8" t="n"/>
      <c r="I327" s="8" t="n"/>
      <c r="J327" s="14" t="n"/>
    </row>
    <row r="328">
      <c r="A328" s="16" t="n"/>
      <c r="B328" s="14" t="n"/>
      <c r="C328" s="14" t="n"/>
      <c r="D328" s="14" t="n"/>
      <c r="E328" s="10">
        <f>IF(D328="","",IFERROR(VLOOKUP(D328,選品庫!A:D,4,FALSE),"找不到"))</f>
        <v/>
      </c>
      <c r="F328" s="14" t="n"/>
      <c r="G328" s="14" t="n"/>
      <c r="H328" s="8" t="n"/>
      <c r="I328" s="8" t="n"/>
      <c r="J328" s="14" t="n"/>
    </row>
    <row r="329">
      <c r="A329" s="16" t="n"/>
      <c r="B329" s="14" t="n"/>
      <c r="C329" s="14" t="n"/>
      <c r="D329" s="14" t="n"/>
      <c r="E329" s="10">
        <f>IF(D329="","",IFERROR(VLOOKUP(D329,選品庫!A:D,4,FALSE),"找不到"))</f>
        <v/>
      </c>
      <c r="F329" s="14" t="n"/>
      <c r="G329" s="14" t="n"/>
      <c r="H329" s="8" t="n"/>
      <c r="I329" s="8" t="n"/>
      <c r="J329" s="14" t="n"/>
    </row>
    <row r="330">
      <c r="A330" s="16" t="n"/>
      <c r="B330" s="14" t="n"/>
      <c r="C330" s="14" t="n"/>
      <c r="D330" s="14" t="n"/>
      <c r="E330" s="10">
        <f>IF(D330="","",IFERROR(VLOOKUP(D330,選品庫!A:D,4,FALSE),"找不到"))</f>
        <v/>
      </c>
      <c r="F330" s="14" t="n"/>
      <c r="G330" s="14" t="n"/>
      <c r="H330" s="8" t="n"/>
      <c r="I330" s="8" t="n"/>
      <c r="J330" s="14" t="n"/>
    </row>
    <row r="331">
      <c r="A331" s="16" t="n"/>
      <c r="B331" s="14" t="n"/>
      <c r="C331" s="14" t="n"/>
      <c r="D331" s="14" t="n"/>
      <c r="E331" s="10">
        <f>IF(D331="","",IFERROR(VLOOKUP(D331,選品庫!A:D,4,FALSE),"找不到"))</f>
        <v/>
      </c>
      <c r="F331" s="14" t="n"/>
      <c r="G331" s="14" t="n"/>
      <c r="H331" s="8" t="n"/>
      <c r="I331" s="8" t="n"/>
      <c r="J331" s="14" t="n"/>
    </row>
    <row r="332">
      <c r="A332" s="16" t="n"/>
      <c r="B332" s="14" t="n"/>
      <c r="C332" s="14" t="n"/>
      <c r="D332" s="14" t="n"/>
      <c r="E332" s="10">
        <f>IF(D332="","",IFERROR(VLOOKUP(D332,選品庫!A:D,4,FALSE),"找不到"))</f>
        <v/>
      </c>
      <c r="F332" s="14" t="n"/>
      <c r="G332" s="14" t="n"/>
      <c r="H332" s="8" t="n"/>
      <c r="I332" s="8" t="n"/>
      <c r="J332" s="14" t="n"/>
    </row>
    <row r="333">
      <c r="A333" s="16" t="n"/>
      <c r="B333" s="14" t="n"/>
      <c r="C333" s="14" t="n"/>
      <c r="D333" s="14" t="n"/>
      <c r="E333" s="10">
        <f>IF(D333="","",IFERROR(VLOOKUP(D333,選品庫!A:D,4,FALSE),"找不到"))</f>
        <v/>
      </c>
      <c r="F333" s="14" t="n"/>
      <c r="G333" s="14" t="n"/>
      <c r="H333" s="8" t="n"/>
      <c r="I333" s="8" t="n"/>
      <c r="J333" s="14" t="n"/>
    </row>
    <row r="334">
      <c r="A334" s="16" t="n"/>
      <c r="B334" s="14" t="n"/>
      <c r="C334" s="14" t="n"/>
      <c r="D334" s="14" t="n"/>
      <c r="E334" s="10">
        <f>IF(D334="","",IFERROR(VLOOKUP(D334,選品庫!A:D,4,FALSE),"找不到"))</f>
        <v/>
      </c>
      <c r="F334" s="14" t="n"/>
      <c r="G334" s="14" t="n"/>
      <c r="H334" s="8" t="n"/>
      <c r="I334" s="8" t="n"/>
      <c r="J334" s="14" t="n"/>
    </row>
    <row r="335">
      <c r="A335" s="16" t="n"/>
      <c r="B335" s="14" t="n"/>
      <c r="C335" s="14" t="n"/>
      <c r="D335" s="14" t="n"/>
      <c r="E335" s="10">
        <f>IF(D335="","",IFERROR(VLOOKUP(D335,選品庫!A:D,4,FALSE),"找不到"))</f>
        <v/>
      </c>
      <c r="F335" s="14" t="n"/>
      <c r="G335" s="14" t="n"/>
      <c r="H335" s="8" t="n"/>
      <c r="I335" s="8" t="n"/>
      <c r="J335" s="14" t="n"/>
    </row>
    <row r="336">
      <c r="A336" s="16" t="n"/>
      <c r="B336" s="14" t="n"/>
      <c r="C336" s="14" t="n"/>
      <c r="D336" s="14" t="n"/>
      <c r="E336" s="10">
        <f>IF(D336="","",IFERROR(VLOOKUP(D336,選品庫!A:D,4,FALSE),"找不到"))</f>
        <v/>
      </c>
      <c r="F336" s="14" t="n"/>
      <c r="G336" s="14" t="n"/>
      <c r="H336" s="8" t="n"/>
      <c r="I336" s="8" t="n"/>
      <c r="J336" s="14" t="n"/>
    </row>
    <row r="337">
      <c r="A337" s="16" t="n"/>
      <c r="B337" s="14" t="n"/>
      <c r="C337" s="14" t="n"/>
      <c r="D337" s="14" t="n"/>
      <c r="E337" s="10">
        <f>IF(D337="","",IFERROR(VLOOKUP(D337,選品庫!A:D,4,FALSE),"找不到"))</f>
        <v/>
      </c>
      <c r="F337" s="14" t="n"/>
      <c r="G337" s="14" t="n"/>
      <c r="H337" s="8" t="n"/>
      <c r="I337" s="8" t="n"/>
      <c r="J337" s="14" t="n"/>
    </row>
    <row r="338">
      <c r="A338" s="16" t="n"/>
      <c r="B338" s="14" t="n"/>
      <c r="C338" s="14" t="n"/>
      <c r="D338" s="14" t="n"/>
      <c r="E338" s="10">
        <f>IF(D338="","",IFERROR(VLOOKUP(D338,選品庫!A:D,4,FALSE),"找不到"))</f>
        <v/>
      </c>
      <c r="F338" s="14" t="n"/>
      <c r="G338" s="14" t="n"/>
      <c r="H338" s="8" t="n"/>
      <c r="I338" s="8" t="n"/>
      <c r="J338" s="14" t="n"/>
    </row>
    <row r="339">
      <c r="A339" s="16" t="n"/>
      <c r="B339" s="14" t="n"/>
      <c r="C339" s="14" t="n"/>
      <c r="D339" s="14" t="n"/>
      <c r="E339" s="10">
        <f>IF(D339="","",IFERROR(VLOOKUP(D339,選品庫!A:D,4,FALSE),"找不到"))</f>
        <v/>
      </c>
      <c r="F339" s="14" t="n"/>
      <c r="G339" s="14" t="n"/>
      <c r="H339" s="8" t="n"/>
      <c r="I339" s="8" t="n"/>
      <c r="J339" s="14" t="n"/>
    </row>
    <row r="340">
      <c r="A340" s="16" t="n"/>
      <c r="B340" s="14" t="n"/>
      <c r="C340" s="14" t="n"/>
      <c r="D340" s="14" t="n"/>
      <c r="E340" s="10">
        <f>IF(D340="","",IFERROR(VLOOKUP(D340,選品庫!A:D,4,FALSE),"找不到"))</f>
        <v/>
      </c>
      <c r="F340" s="14" t="n"/>
      <c r="G340" s="14" t="n"/>
      <c r="H340" s="8" t="n"/>
      <c r="I340" s="8" t="n"/>
      <c r="J340" s="14" t="n"/>
    </row>
    <row r="341">
      <c r="A341" s="16" t="n"/>
      <c r="B341" s="14" t="n"/>
      <c r="C341" s="14" t="n"/>
      <c r="D341" s="14" t="n"/>
      <c r="E341" s="10">
        <f>IF(D341="","",IFERROR(VLOOKUP(D341,選品庫!A:D,4,FALSE),"找不到"))</f>
        <v/>
      </c>
      <c r="F341" s="14" t="n"/>
      <c r="G341" s="14" t="n"/>
      <c r="H341" s="8" t="n"/>
      <c r="I341" s="8" t="n"/>
      <c r="J341" s="14" t="n"/>
    </row>
    <row r="342">
      <c r="A342" s="16" t="n"/>
      <c r="B342" s="14" t="n"/>
      <c r="C342" s="14" t="n"/>
      <c r="D342" s="14" t="n"/>
      <c r="E342" s="10">
        <f>IF(D342="","",IFERROR(VLOOKUP(D342,選品庫!A:D,4,FALSE),"找不到"))</f>
        <v/>
      </c>
      <c r="F342" s="14" t="n"/>
      <c r="G342" s="14" t="n"/>
      <c r="H342" s="8" t="n"/>
      <c r="I342" s="8" t="n"/>
      <c r="J342" s="14" t="n"/>
    </row>
    <row r="343">
      <c r="A343" s="16" t="n"/>
      <c r="B343" s="14" t="n"/>
      <c r="C343" s="14" t="n"/>
      <c r="D343" s="14" t="n"/>
      <c r="E343" s="10">
        <f>IF(D343="","",IFERROR(VLOOKUP(D343,選品庫!A:D,4,FALSE),"找不到"))</f>
        <v/>
      </c>
      <c r="F343" s="14" t="n"/>
      <c r="G343" s="14" t="n"/>
      <c r="H343" s="8" t="n"/>
      <c r="I343" s="8" t="n"/>
      <c r="J343" s="14" t="n"/>
    </row>
    <row r="344">
      <c r="A344" s="16" t="n"/>
      <c r="B344" s="14" t="n"/>
      <c r="C344" s="14" t="n"/>
      <c r="D344" s="14" t="n"/>
      <c r="E344" s="10">
        <f>IF(D344="","",IFERROR(VLOOKUP(D344,選品庫!A:D,4,FALSE),"找不到"))</f>
        <v/>
      </c>
      <c r="F344" s="14" t="n"/>
      <c r="G344" s="14" t="n"/>
      <c r="H344" s="8" t="n"/>
      <c r="I344" s="8" t="n"/>
      <c r="J344" s="14" t="n"/>
    </row>
    <row r="345">
      <c r="A345" s="16" t="n"/>
      <c r="B345" s="14" t="n"/>
      <c r="C345" s="14" t="n"/>
      <c r="D345" s="14" t="n"/>
      <c r="E345" s="10">
        <f>IF(D345="","",IFERROR(VLOOKUP(D345,選品庫!A:D,4,FALSE),"找不到"))</f>
        <v/>
      </c>
      <c r="F345" s="14" t="n"/>
      <c r="G345" s="14" t="n"/>
      <c r="H345" s="8" t="n"/>
      <c r="I345" s="8" t="n"/>
      <c r="J345" s="14" t="n"/>
    </row>
    <row r="346">
      <c r="A346" s="16" t="n"/>
      <c r="B346" s="14" t="n"/>
      <c r="C346" s="14" t="n"/>
      <c r="D346" s="14" t="n"/>
      <c r="E346" s="10">
        <f>IF(D346="","",IFERROR(VLOOKUP(D346,選品庫!A:D,4,FALSE),"找不到"))</f>
        <v/>
      </c>
      <c r="F346" s="14" t="n"/>
      <c r="G346" s="14" t="n"/>
      <c r="H346" s="8" t="n"/>
      <c r="I346" s="8" t="n"/>
      <c r="J346" s="14" t="n"/>
    </row>
    <row r="347">
      <c r="A347" s="16" t="n"/>
      <c r="B347" s="14" t="n"/>
      <c r="C347" s="14" t="n"/>
      <c r="D347" s="14" t="n"/>
      <c r="E347" s="10">
        <f>IF(D347="","",IFERROR(VLOOKUP(D347,選品庫!A:D,4,FALSE),"找不到"))</f>
        <v/>
      </c>
      <c r="F347" s="14" t="n"/>
      <c r="G347" s="14" t="n"/>
      <c r="H347" s="8" t="n"/>
      <c r="I347" s="8" t="n"/>
      <c r="J347" s="14" t="n"/>
    </row>
    <row r="348">
      <c r="A348" s="16" t="n"/>
      <c r="B348" s="14" t="n"/>
      <c r="C348" s="14" t="n"/>
      <c r="D348" s="14" t="n"/>
      <c r="E348" s="10">
        <f>IF(D348="","",IFERROR(VLOOKUP(D348,選品庫!A:D,4,FALSE),"找不到"))</f>
        <v/>
      </c>
      <c r="F348" s="14" t="n"/>
      <c r="G348" s="14" t="n"/>
      <c r="H348" s="8" t="n"/>
      <c r="I348" s="8" t="n"/>
      <c r="J348" s="14" t="n"/>
    </row>
    <row r="349">
      <c r="A349" s="16" t="n"/>
      <c r="B349" s="14" t="n"/>
      <c r="C349" s="14" t="n"/>
      <c r="D349" s="14" t="n"/>
      <c r="E349" s="10">
        <f>IF(D349="","",IFERROR(VLOOKUP(D349,選品庫!A:D,4,FALSE),"找不到"))</f>
        <v/>
      </c>
      <c r="F349" s="14" t="n"/>
      <c r="G349" s="14" t="n"/>
      <c r="H349" s="8" t="n"/>
      <c r="I349" s="8" t="n"/>
      <c r="J349" s="14" t="n"/>
    </row>
    <row r="350">
      <c r="A350" s="16" t="n"/>
      <c r="B350" s="14" t="n"/>
      <c r="C350" s="14" t="n"/>
      <c r="D350" s="14" t="n"/>
      <c r="E350" s="10">
        <f>IF(D350="","",IFERROR(VLOOKUP(D350,選品庫!A:D,4,FALSE),"找不到"))</f>
        <v/>
      </c>
      <c r="F350" s="14" t="n"/>
      <c r="G350" s="14" t="n"/>
      <c r="H350" s="8" t="n"/>
      <c r="I350" s="8" t="n"/>
      <c r="J350" s="14" t="n"/>
    </row>
    <row r="351">
      <c r="A351" s="16" t="n"/>
      <c r="B351" s="14" t="n"/>
      <c r="C351" s="14" t="n"/>
      <c r="D351" s="14" t="n"/>
      <c r="E351" s="10">
        <f>IF(D351="","",IFERROR(VLOOKUP(D351,選品庫!A:D,4,FALSE),"找不到"))</f>
        <v/>
      </c>
      <c r="F351" s="14" t="n"/>
      <c r="G351" s="14" t="n"/>
      <c r="H351" s="8" t="n"/>
      <c r="I351" s="8" t="n"/>
      <c r="J351" s="14" t="n"/>
    </row>
    <row r="352">
      <c r="A352" s="16" t="n"/>
      <c r="B352" s="14" t="n"/>
      <c r="C352" s="14" t="n"/>
      <c r="D352" s="14" t="n"/>
      <c r="E352" s="10">
        <f>IF(D352="","",IFERROR(VLOOKUP(D352,選品庫!A:D,4,FALSE),"找不到"))</f>
        <v/>
      </c>
      <c r="F352" s="14" t="n"/>
      <c r="G352" s="14" t="n"/>
      <c r="H352" s="8" t="n"/>
      <c r="I352" s="8" t="n"/>
      <c r="J352" s="14" t="n"/>
    </row>
    <row r="353">
      <c r="A353" s="16" t="n"/>
      <c r="B353" s="14" t="n"/>
      <c r="C353" s="14" t="n"/>
      <c r="D353" s="14" t="n"/>
      <c r="E353" s="10">
        <f>IF(D353="","",IFERROR(VLOOKUP(D353,選品庫!A:D,4,FALSE),"找不到"))</f>
        <v/>
      </c>
      <c r="F353" s="14" t="n"/>
      <c r="G353" s="14" t="n"/>
      <c r="H353" s="8" t="n"/>
      <c r="I353" s="8" t="n"/>
      <c r="J353" s="14" t="n"/>
    </row>
    <row r="354">
      <c r="A354" s="16" t="n"/>
      <c r="B354" s="14" t="n"/>
      <c r="C354" s="14" t="n"/>
      <c r="D354" s="14" t="n"/>
      <c r="E354" s="10">
        <f>IF(D354="","",IFERROR(VLOOKUP(D354,選品庫!A:D,4,FALSE),"找不到"))</f>
        <v/>
      </c>
      <c r="F354" s="14" t="n"/>
      <c r="G354" s="14" t="n"/>
      <c r="H354" s="8" t="n"/>
      <c r="I354" s="8" t="n"/>
      <c r="J354" s="14" t="n"/>
    </row>
    <row r="355">
      <c r="A355" s="16" t="n"/>
      <c r="B355" s="14" t="n"/>
      <c r="C355" s="14" t="n"/>
      <c r="D355" s="14" t="n"/>
      <c r="E355" s="10">
        <f>IF(D355="","",IFERROR(VLOOKUP(D355,選品庫!A:D,4,FALSE),"找不到"))</f>
        <v/>
      </c>
      <c r="F355" s="14" t="n"/>
      <c r="G355" s="14" t="n"/>
      <c r="H355" s="8" t="n"/>
      <c r="I355" s="8" t="n"/>
      <c r="J355" s="14" t="n"/>
    </row>
    <row r="356">
      <c r="A356" s="16" t="n"/>
      <c r="B356" s="14" t="n"/>
      <c r="C356" s="14" t="n"/>
      <c r="D356" s="14" t="n"/>
      <c r="E356" s="10">
        <f>IF(D356="","",IFERROR(VLOOKUP(D356,選品庫!A:D,4,FALSE),"找不到"))</f>
        <v/>
      </c>
      <c r="F356" s="14" t="n"/>
      <c r="G356" s="14" t="n"/>
      <c r="H356" s="8" t="n"/>
      <c r="I356" s="8" t="n"/>
      <c r="J356" s="14" t="n"/>
    </row>
    <row r="357">
      <c r="A357" s="16" t="n"/>
      <c r="B357" s="14" t="n"/>
      <c r="C357" s="14" t="n"/>
      <c r="D357" s="14" t="n"/>
      <c r="E357" s="10">
        <f>IF(D357="","",IFERROR(VLOOKUP(D357,選品庫!A:D,4,FALSE),"找不到"))</f>
        <v/>
      </c>
      <c r="F357" s="14" t="n"/>
      <c r="G357" s="14" t="n"/>
      <c r="H357" s="8" t="n"/>
      <c r="I357" s="8" t="n"/>
      <c r="J357" s="14" t="n"/>
    </row>
    <row r="358">
      <c r="A358" s="16" t="n"/>
      <c r="B358" s="14" t="n"/>
      <c r="C358" s="14" t="n"/>
      <c r="D358" s="14" t="n"/>
      <c r="E358" s="10">
        <f>IF(D358="","",IFERROR(VLOOKUP(D358,選品庫!A:D,4,FALSE),"找不到"))</f>
        <v/>
      </c>
      <c r="F358" s="14" t="n"/>
      <c r="G358" s="14" t="n"/>
      <c r="H358" s="8" t="n"/>
      <c r="I358" s="8" t="n"/>
      <c r="J358" s="14" t="n"/>
    </row>
    <row r="359">
      <c r="A359" s="16" t="n"/>
      <c r="B359" s="14" t="n"/>
      <c r="C359" s="14" t="n"/>
      <c r="D359" s="14" t="n"/>
      <c r="E359" s="10">
        <f>IF(D359="","",IFERROR(VLOOKUP(D359,選品庫!A:D,4,FALSE),"找不到"))</f>
        <v/>
      </c>
      <c r="F359" s="14" t="n"/>
      <c r="G359" s="14" t="n"/>
      <c r="H359" s="8" t="n"/>
      <c r="I359" s="8" t="n"/>
      <c r="J359" s="14" t="n"/>
    </row>
    <row r="360">
      <c r="A360" s="16" t="n"/>
      <c r="B360" s="14" t="n"/>
      <c r="C360" s="14" t="n"/>
      <c r="D360" s="14" t="n"/>
      <c r="E360" s="10">
        <f>IF(D360="","",IFERROR(VLOOKUP(D360,選品庫!A:D,4,FALSE),"找不到"))</f>
        <v/>
      </c>
      <c r="F360" s="14" t="n"/>
      <c r="G360" s="14" t="n"/>
      <c r="H360" s="8" t="n"/>
      <c r="I360" s="8" t="n"/>
      <c r="J360" s="14" t="n"/>
    </row>
    <row r="361">
      <c r="A361" s="16" t="n"/>
      <c r="B361" s="14" t="n"/>
      <c r="C361" s="14" t="n"/>
      <c r="D361" s="14" t="n"/>
      <c r="E361" s="10">
        <f>IF(D361="","",IFERROR(VLOOKUP(D361,選品庫!A:D,4,FALSE),"找不到"))</f>
        <v/>
      </c>
      <c r="F361" s="14" t="n"/>
      <c r="G361" s="14" t="n"/>
      <c r="H361" s="8" t="n"/>
      <c r="I361" s="8" t="n"/>
      <c r="J361" s="14" t="n"/>
    </row>
    <row r="362">
      <c r="A362" s="16" t="n"/>
      <c r="B362" s="14" t="n"/>
      <c r="C362" s="14" t="n"/>
      <c r="D362" s="14" t="n"/>
      <c r="E362" s="10">
        <f>IF(D362="","",IFERROR(VLOOKUP(D362,選品庫!A:D,4,FALSE),"找不到"))</f>
        <v/>
      </c>
      <c r="F362" s="14" t="n"/>
      <c r="G362" s="14" t="n"/>
      <c r="H362" s="8" t="n"/>
      <c r="I362" s="8" t="n"/>
      <c r="J362" s="14" t="n"/>
    </row>
    <row r="363">
      <c r="A363" s="16" t="n"/>
      <c r="B363" s="14" t="n"/>
      <c r="C363" s="14" t="n"/>
      <c r="D363" s="14" t="n"/>
      <c r="E363" s="10">
        <f>IF(D363="","",IFERROR(VLOOKUP(D363,選品庫!A:D,4,FALSE),"找不到"))</f>
        <v/>
      </c>
      <c r="F363" s="14" t="n"/>
      <c r="G363" s="14" t="n"/>
      <c r="H363" s="8" t="n"/>
      <c r="I363" s="8" t="n"/>
      <c r="J363" s="14" t="n"/>
    </row>
    <row r="364">
      <c r="A364" s="16" t="n"/>
      <c r="B364" s="14" t="n"/>
      <c r="C364" s="14" t="n"/>
      <c r="D364" s="14" t="n"/>
      <c r="E364" s="10">
        <f>IF(D364="","",IFERROR(VLOOKUP(D364,選品庫!A:D,4,FALSE),"找不到"))</f>
        <v/>
      </c>
      <c r="F364" s="14" t="n"/>
      <c r="G364" s="14" t="n"/>
      <c r="H364" s="8" t="n"/>
      <c r="I364" s="8" t="n"/>
      <c r="J364" s="14" t="n"/>
    </row>
    <row r="365">
      <c r="A365" s="16" t="n"/>
      <c r="B365" s="14" t="n"/>
      <c r="C365" s="14" t="n"/>
      <c r="D365" s="14" t="n"/>
      <c r="E365" s="10">
        <f>IF(D365="","",IFERROR(VLOOKUP(D365,選品庫!A:D,4,FALSE),"找不到"))</f>
        <v/>
      </c>
      <c r="F365" s="14" t="n"/>
      <c r="G365" s="14" t="n"/>
      <c r="H365" s="8" t="n"/>
      <c r="I365" s="8" t="n"/>
      <c r="J365" s="14" t="n"/>
    </row>
    <row r="366">
      <c r="A366" s="16" t="n"/>
      <c r="B366" s="14" t="n"/>
      <c r="C366" s="14" t="n"/>
      <c r="D366" s="14" t="n"/>
      <c r="E366" s="10">
        <f>IF(D366="","",IFERROR(VLOOKUP(D366,選品庫!A:D,4,FALSE),"找不到"))</f>
        <v/>
      </c>
      <c r="F366" s="14" t="n"/>
      <c r="G366" s="14" t="n"/>
      <c r="H366" s="8" t="n"/>
      <c r="I366" s="8" t="n"/>
      <c r="J366" s="14" t="n"/>
    </row>
    <row r="367">
      <c r="A367" s="16" t="n"/>
      <c r="B367" s="14" t="n"/>
      <c r="C367" s="14" t="n"/>
      <c r="D367" s="14" t="n"/>
      <c r="E367" s="10">
        <f>IF(D367="","",IFERROR(VLOOKUP(D367,選品庫!A:D,4,FALSE),"找不到"))</f>
        <v/>
      </c>
      <c r="F367" s="14" t="n"/>
      <c r="G367" s="14" t="n"/>
      <c r="H367" s="8" t="n"/>
      <c r="I367" s="8" t="n"/>
      <c r="J367" s="14" t="n"/>
    </row>
    <row r="368">
      <c r="A368" s="16" t="n"/>
      <c r="B368" s="14" t="n"/>
      <c r="C368" s="14" t="n"/>
      <c r="D368" s="14" t="n"/>
      <c r="E368" s="10">
        <f>IF(D368="","",IFERROR(VLOOKUP(D368,選品庫!A:D,4,FALSE),"找不到"))</f>
        <v/>
      </c>
      <c r="F368" s="14" t="n"/>
      <c r="G368" s="14" t="n"/>
      <c r="H368" s="8" t="n"/>
      <c r="I368" s="8" t="n"/>
      <c r="J368" s="14" t="n"/>
    </row>
    <row r="369">
      <c r="A369" s="16" t="n"/>
      <c r="B369" s="14" t="n"/>
      <c r="C369" s="14" t="n"/>
      <c r="D369" s="14" t="n"/>
      <c r="E369" s="10">
        <f>IF(D369="","",IFERROR(VLOOKUP(D369,選品庫!A:D,4,FALSE),"找不到"))</f>
        <v/>
      </c>
      <c r="F369" s="14" t="n"/>
      <c r="G369" s="14" t="n"/>
      <c r="H369" s="8" t="n"/>
      <c r="I369" s="8" t="n"/>
      <c r="J369" s="14" t="n"/>
    </row>
    <row r="370">
      <c r="A370" s="16" t="n"/>
      <c r="B370" s="14" t="n"/>
      <c r="C370" s="14" t="n"/>
      <c r="D370" s="14" t="n"/>
      <c r="E370" s="10">
        <f>IF(D370="","",IFERROR(VLOOKUP(D370,選品庫!A:D,4,FALSE),"找不到"))</f>
        <v/>
      </c>
      <c r="F370" s="14" t="n"/>
      <c r="G370" s="14" t="n"/>
      <c r="H370" s="8" t="n"/>
      <c r="I370" s="8" t="n"/>
      <c r="J370" s="14" t="n"/>
    </row>
    <row r="371">
      <c r="A371" s="16" t="n"/>
      <c r="B371" s="14" t="n"/>
      <c r="C371" s="14" t="n"/>
      <c r="D371" s="14" t="n"/>
      <c r="E371" s="10">
        <f>IF(D371="","",IFERROR(VLOOKUP(D371,選品庫!A:D,4,FALSE),"找不到"))</f>
        <v/>
      </c>
      <c r="F371" s="14" t="n"/>
      <c r="G371" s="14" t="n"/>
      <c r="H371" s="8" t="n"/>
      <c r="I371" s="8" t="n"/>
      <c r="J371" s="14" t="n"/>
    </row>
    <row r="372">
      <c r="A372" s="16" t="n"/>
      <c r="B372" s="14" t="n"/>
      <c r="C372" s="14" t="n"/>
      <c r="D372" s="14" t="n"/>
      <c r="E372" s="10">
        <f>IF(D372="","",IFERROR(VLOOKUP(D372,選品庫!A:D,4,FALSE),"找不到"))</f>
        <v/>
      </c>
      <c r="F372" s="14" t="n"/>
      <c r="G372" s="14" t="n"/>
      <c r="H372" s="8" t="n"/>
      <c r="I372" s="8" t="n"/>
      <c r="J372" s="14" t="n"/>
    </row>
    <row r="373">
      <c r="A373" s="16" t="n"/>
      <c r="B373" s="14" t="n"/>
      <c r="C373" s="14" t="n"/>
      <c r="D373" s="14" t="n"/>
      <c r="E373" s="10">
        <f>IF(D373="","",IFERROR(VLOOKUP(D373,選品庫!A:D,4,FALSE),"找不到"))</f>
        <v/>
      </c>
      <c r="F373" s="14" t="n"/>
      <c r="G373" s="14" t="n"/>
      <c r="H373" s="8" t="n"/>
      <c r="I373" s="8" t="n"/>
      <c r="J373" s="14" t="n"/>
    </row>
    <row r="374">
      <c r="A374" s="16" t="n"/>
      <c r="B374" s="14" t="n"/>
      <c r="C374" s="14" t="n"/>
      <c r="D374" s="14" t="n"/>
      <c r="E374" s="10">
        <f>IF(D374="","",IFERROR(VLOOKUP(D374,選品庫!A:D,4,FALSE),"找不到"))</f>
        <v/>
      </c>
      <c r="F374" s="14" t="n"/>
      <c r="G374" s="14" t="n"/>
      <c r="H374" s="8" t="n"/>
      <c r="I374" s="8" t="n"/>
      <c r="J374" s="14" t="n"/>
    </row>
    <row r="375">
      <c r="A375" s="16" t="n"/>
      <c r="B375" s="14" t="n"/>
      <c r="C375" s="14" t="n"/>
      <c r="D375" s="14" t="n"/>
      <c r="E375" s="10">
        <f>IF(D375="","",IFERROR(VLOOKUP(D375,選品庫!A:D,4,FALSE),"找不到"))</f>
        <v/>
      </c>
      <c r="F375" s="14" t="n"/>
      <c r="G375" s="14" t="n"/>
      <c r="H375" s="8" t="n"/>
      <c r="I375" s="8" t="n"/>
      <c r="J375" s="14" t="n"/>
    </row>
    <row r="376">
      <c r="A376" s="16" t="n"/>
      <c r="B376" s="14" t="n"/>
      <c r="C376" s="14" t="n"/>
      <c r="D376" s="14" t="n"/>
      <c r="E376" s="10">
        <f>IF(D376="","",IFERROR(VLOOKUP(D376,選品庫!A:D,4,FALSE),"找不到"))</f>
        <v/>
      </c>
      <c r="F376" s="14" t="n"/>
      <c r="G376" s="14" t="n"/>
      <c r="H376" s="8" t="n"/>
      <c r="I376" s="8" t="n"/>
      <c r="J376" s="14" t="n"/>
    </row>
    <row r="377">
      <c r="A377" s="16" t="n"/>
      <c r="B377" s="14" t="n"/>
      <c r="C377" s="14" t="n"/>
      <c r="D377" s="14" t="n"/>
      <c r="E377" s="10">
        <f>IF(D377="","",IFERROR(VLOOKUP(D377,選品庫!A:D,4,FALSE),"找不到"))</f>
        <v/>
      </c>
      <c r="F377" s="14" t="n"/>
      <c r="G377" s="14" t="n"/>
      <c r="H377" s="8" t="n"/>
      <c r="I377" s="8" t="n"/>
      <c r="J377" s="14" t="n"/>
    </row>
    <row r="378">
      <c r="A378" s="16" t="n"/>
      <c r="B378" s="14" t="n"/>
      <c r="C378" s="14" t="n"/>
      <c r="D378" s="14" t="n"/>
      <c r="E378" s="10">
        <f>IF(D378="","",IFERROR(VLOOKUP(D378,選品庫!A:D,4,FALSE),"找不到"))</f>
        <v/>
      </c>
      <c r="F378" s="14" t="n"/>
      <c r="G378" s="14" t="n"/>
      <c r="H378" s="8" t="n"/>
      <c r="I378" s="8" t="n"/>
      <c r="J378" s="14" t="n"/>
    </row>
    <row r="379">
      <c r="A379" s="16" t="n"/>
      <c r="B379" s="14" t="n"/>
      <c r="C379" s="14" t="n"/>
      <c r="D379" s="14" t="n"/>
      <c r="E379" s="10">
        <f>IF(D379="","",IFERROR(VLOOKUP(D379,選品庫!A:D,4,FALSE),"找不到"))</f>
        <v/>
      </c>
      <c r="F379" s="14" t="n"/>
      <c r="G379" s="14" t="n"/>
      <c r="H379" s="8" t="n"/>
      <c r="I379" s="8" t="n"/>
      <c r="J379" s="14" t="n"/>
    </row>
    <row r="380">
      <c r="A380" s="16" t="n"/>
      <c r="B380" s="14" t="n"/>
      <c r="C380" s="14" t="n"/>
      <c r="D380" s="14" t="n"/>
      <c r="E380" s="10">
        <f>IF(D380="","",IFERROR(VLOOKUP(D380,選品庫!A:D,4,FALSE),"找不到"))</f>
        <v/>
      </c>
      <c r="F380" s="14" t="n"/>
      <c r="G380" s="14" t="n"/>
      <c r="H380" s="8" t="n"/>
      <c r="I380" s="8" t="n"/>
      <c r="J380" s="14" t="n"/>
    </row>
    <row r="381">
      <c r="A381" s="16" t="n"/>
      <c r="B381" s="14" t="n"/>
      <c r="C381" s="14" t="n"/>
      <c r="D381" s="14" t="n"/>
      <c r="E381" s="10">
        <f>IF(D381="","",IFERROR(VLOOKUP(D381,選品庫!A:D,4,FALSE),"找不到"))</f>
        <v/>
      </c>
      <c r="F381" s="14" t="n"/>
      <c r="G381" s="14" t="n"/>
      <c r="H381" s="8" t="n"/>
      <c r="I381" s="8" t="n"/>
      <c r="J381" s="14" t="n"/>
    </row>
    <row r="382">
      <c r="A382" s="16" t="n"/>
      <c r="B382" s="14" t="n"/>
      <c r="C382" s="14" t="n"/>
      <c r="D382" s="14" t="n"/>
      <c r="E382" s="10">
        <f>IF(D382="","",IFERROR(VLOOKUP(D382,選品庫!A:D,4,FALSE),"找不到"))</f>
        <v/>
      </c>
      <c r="F382" s="14" t="n"/>
      <c r="G382" s="14" t="n"/>
      <c r="H382" s="8" t="n"/>
      <c r="I382" s="8" t="n"/>
      <c r="J382" s="14" t="n"/>
    </row>
    <row r="383">
      <c r="A383" s="16" t="n"/>
      <c r="B383" s="14" t="n"/>
      <c r="C383" s="14" t="n"/>
      <c r="D383" s="14" t="n"/>
      <c r="E383" s="10">
        <f>IF(D383="","",IFERROR(VLOOKUP(D383,選品庫!A:D,4,FALSE),"找不到"))</f>
        <v/>
      </c>
      <c r="F383" s="14" t="n"/>
      <c r="G383" s="14" t="n"/>
      <c r="H383" s="8" t="n"/>
      <c r="I383" s="8" t="n"/>
      <c r="J383" s="14" t="n"/>
    </row>
    <row r="384">
      <c r="A384" s="16" t="n"/>
      <c r="B384" s="14" t="n"/>
      <c r="C384" s="14" t="n"/>
      <c r="D384" s="14" t="n"/>
      <c r="E384" s="10">
        <f>IF(D384="","",IFERROR(VLOOKUP(D384,選品庫!A:D,4,FALSE),"找不到"))</f>
        <v/>
      </c>
      <c r="F384" s="14" t="n"/>
      <c r="G384" s="14" t="n"/>
      <c r="H384" s="8" t="n"/>
      <c r="I384" s="8" t="n"/>
      <c r="J384" s="14" t="n"/>
    </row>
    <row r="385">
      <c r="A385" s="16" t="n"/>
      <c r="B385" s="14" t="n"/>
      <c r="C385" s="14" t="n"/>
      <c r="D385" s="14" t="n"/>
      <c r="E385" s="10">
        <f>IF(D385="","",IFERROR(VLOOKUP(D385,選品庫!A:D,4,FALSE),"找不到"))</f>
        <v/>
      </c>
      <c r="F385" s="14" t="n"/>
      <c r="G385" s="14" t="n"/>
      <c r="H385" s="8" t="n"/>
      <c r="I385" s="8" t="n"/>
      <c r="J385" s="14" t="n"/>
    </row>
    <row r="386">
      <c r="A386" s="16" t="n"/>
      <c r="B386" s="14" t="n"/>
      <c r="C386" s="14" t="n"/>
      <c r="D386" s="14" t="n"/>
      <c r="E386" s="10">
        <f>IF(D386="","",IFERROR(VLOOKUP(D386,選品庫!A:D,4,FALSE),"找不到"))</f>
        <v/>
      </c>
      <c r="F386" s="14" t="n"/>
      <c r="G386" s="14" t="n"/>
      <c r="H386" s="8" t="n"/>
      <c r="I386" s="8" t="n"/>
      <c r="J386" s="14" t="n"/>
    </row>
    <row r="387">
      <c r="A387" s="16" t="n"/>
      <c r="B387" s="14" t="n"/>
      <c r="C387" s="14" t="n"/>
      <c r="D387" s="14" t="n"/>
      <c r="E387" s="10">
        <f>IF(D387="","",IFERROR(VLOOKUP(D387,選品庫!A:D,4,FALSE),"找不到"))</f>
        <v/>
      </c>
      <c r="F387" s="14" t="n"/>
      <c r="G387" s="14" t="n"/>
      <c r="H387" s="8" t="n"/>
      <c r="I387" s="8" t="n"/>
      <c r="J387" s="14" t="n"/>
    </row>
    <row r="388">
      <c r="A388" s="16" t="n"/>
      <c r="B388" s="14" t="n"/>
      <c r="C388" s="14" t="n"/>
      <c r="D388" s="14" t="n"/>
      <c r="E388" s="10">
        <f>IF(D388="","",IFERROR(VLOOKUP(D388,選品庫!A:D,4,FALSE),"找不到"))</f>
        <v/>
      </c>
      <c r="F388" s="14" t="n"/>
      <c r="G388" s="14" t="n"/>
      <c r="H388" s="8" t="n"/>
      <c r="I388" s="8" t="n"/>
      <c r="J388" s="14" t="n"/>
    </row>
    <row r="389">
      <c r="A389" s="16" t="n"/>
      <c r="B389" s="14" t="n"/>
      <c r="C389" s="14" t="n"/>
      <c r="D389" s="14" t="n"/>
      <c r="E389" s="10">
        <f>IF(D389="","",IFERROR(VLOOKUP(D389,選品庫!A:D,4,FALSE),"找不到"))</f>
        <v/>
      </c>
      <c r="F389" s="14" t="n"/>
      <c r="G389" s="14" t="n"/>
      <c r="H389" s="8" t="n"/>
      <c r="I389" s="8" t="n"/>
      <c r="J389" s="14" t="n"/>
    </row>
    <row r="390">
      <c r="A390" s="16" t="n"/>
      <c r="B390" s="14" t="n"/>
      <c r="C390" s="14" t="n"/>
      <c r="D390" s="14" t="n"/>
      <c r="E390" s="10">
        <f>IF(D390="","",IFERROR(VLOOKUP(D390,選品庫!A:D,4,FALSE),"找不到"))</f>
        <v/>
      </c>
      <c r="F390" s="14" t="n"/>
      <c r="G390" s="14" t="n"/>
      <c r="H390" s="8" t="n"/>
      <c r="I390" s="8" t="n"/>
      <c r="J390" s="14" t="n"/>
    </row>
    <row r="391">
      <c r="A391" s="16" t="n"/>
      <c r="B391" s="14" t="n"/>
      <c r="C391" s="14" t="n"/>
      <c r="D391" s="14" t="n"/>
      <c r="E391" s="10">
        <f>IF(D391="","",IFERROR(VLOOKUP(D391,選品庫!A:D,4,FALSE),"找不到"))</f>
        <v/>
      </c>
      <c r="F391" s="14" t="n"/>
      <c r="G391" s="14" t="n"/>
      <c r="H391" s="8" t="n"/>
      <c r="I391" s="8" t="n"/>
      <c r="J391" s="14" t="n"/>
    </row>
    <row r="392">
      <c r="A392" s="16" t="n"/>
      <c r="B392" s="14" t="n"/>
      <c r="C392" s="14" t="n"/>
      <c r="D392" s="14" t="n"/>
      <c r="E392" s="10">
        <f>IF(D392="","",IFERROR(VLOOKUP(D392,選品庫!A:D,4,FALSE),"找不到"))</f>
        <v/>
      </c>
      <c r="F392" s="14" t="n"/>
      <c r="G392" s="14" t="n"/>
      <c r="H392" s="8" t="n"/>
      <c r="I392" s="8" t="n"/>
      <c r="J392" s="14" t="n"/>
    </row>
    <row r="393">
      <c r="A393" s="16" t="n"/>
      <c r="B393" s="14" t="n"/>
      <c r="C393" s="14" t="n"/>
      <c r="D393" s="14" t="n"/>
      <c r="E393" s="10">
        <f>IF(D393="","",IFERROR(VLOOKUP(D393,選品庫!A:D,4,FALSE),"找不到"))</f>
        <v/>
      </c>
      <c r="F393" s="14" t="n"/>
      <c r="G393" s="14" t="n"/>
      <c r="H393" s="8" t="n"/>
      <c r="I393" s="8" t="n"/>
      <c r="J393" s="14" t="n"/>
    </row>
    <row r="394">
      <c r="A394" s="16" t="n"/>
      <c r="B394" s="14" t="n"/>
      <c r="C394" s="14" t="n"/>
      <c r="D394" s="14" t="n"/>
      <c r="E394" s="10">
        <f>IF(D394="","",IFERROR(VLOOKUP(D394,選品庫!A:D,4,FALSE),"找不到"))</f>
        <v/>
      </c>
      <c r="F394" s="14" t="n"/>
      <c r="G394" s="14" t="n"/>
      <c r="H394" s="8" t="n"/>
      <c r="I394" s="8" t="n"/>
      <c r="J394" s="14" t="n"/>
    </row>
    <row r="395">
      <c r="A395" s="16" t="n"/>
      <c r="B395" s="14" t="n"/>
      <c r="C395" s="14" t="n"/>
      <c r="D395" s="14" t="n"/>
      <c r="E395" s="10">
        <f>IF(D395="","",IFERROR(VLOOKUP(D395,選品庫!A:D,4,FALSE),"找不到"))</f>
        <v/>
      </c>
      <c r="F395" s="14" t="n"/>
      <c r="G395" s="14" t="n"/>
      <c r="H395" s="8" t="n"/>
      <c r="I395" s="8" t="n"/>
      <c r="J395" s="14" t="n"/>
    </row>
    <row r="396">
      <c r="A396" s="16" t="n"/>
      <c r="B396" s="14" t="n"/>
      <c r="C396" s="14" t="n"/>
      <c r="D396" s="14" t="n"/>
      <c r="E396" s="10">
        <f>IF(D396="","",IFERROR(VLOOKUP(D396,選品庫!A:D,4,FALSE),"找不到"))</f>
        <v/>
      </c>
      <c r="F396" s="14" t="n"/>
      <c r="G396" s="14" t="n"/>
      <c r="H396" s="8" t="n"/>
      <c r="I396" s="8" t="n"/>
      <c r="J396" s="14" t="n"/>
    </row>
    <row r="397">
      <c r="A397" s="16" t="n"/>
      <c r="B397" s="14" t="n"/>
      <c r="C397" s="14" t="n"/>
      <c r="D397" s="14" t="n"/>
      <c r="E397" s="10">
        <f>IF(D397="","",IFERROR(VLOOKUP(D397,選品庫!A:D,4,FALSE),"找不到"))</f>
        <v/>
      </c>
      <c r="F397" s="14" t="n"/>
      <c r="G397" s="14" t="n"/>
      <c r="H397" s="8" t="n"/>
      <c r="I397" s="8" t="n"/>
      <c r="J397" s="14" t="n"/>
    </row>
    <row r="398">
      <c r="A398" s="16" t="n"/>
      <c r="B398" s="14" t="n"/>
      <c r="C398" s="14" t="n"/>
      <c r="D398" s="14" t="n"/>
      <c r="E398" s="10">
        <f>IF(D398="","",IFERROR(VLOOKUP(D398,選品庫!A:D,4,FALSE),"找不到"))</f>
        <v/>
      </c>
      <c r="F398" s="14" t="n"/>
      <c r="G398" s="14" t="n"/>
      <c r="H398" s="8" t="n"/>
      <c r="I398" s="8" t="n"/>
      <c r="J398" s="14" t="n"/>
    </row>
    <row r="399">
      <c r="A399" s="16" t="n"/>
      <c r="B399" s="14" t="n"/>
      <c r="C399" s="14" t="n"/>
      <c r="D399" s="14" t="n"/>
      <c r="E399" s="10">
        <f>IF(D399="","",IFERROR(VLOOKUP(D399,選品庫!A:D,4,FALSE),"找不到"))</f>
        <v/>
      </c>
      <c r="F399" s="14" t="n"/>
      <c r="G399" s="14" t="n"/>
      <c r="H399" s="8" t="n"/>
      <c r="I399" s="8" t="n"/>
      <c r="J399" s="14" t="n"/>
    </row>
    <row r="400">
      <c r="A400" s="16" t="n"/>
      <c r="B400" s="14" t="n"/>
      <c r="C400" s="14" t="n"/>
      <c r="D400" s="14" t="n"/>
      <c r="E400" s="10">
        <f>IF(D400="","",IFERROR(VLOOKUP(D400,選品庫!A:D,4,FALSE),"找不到"))</f>
        <v/>
      </c>
      <c r="F400" s="14" t="n"/>
      <c r="G400" s="14" t="n"/>
      <c r="H400" s="8" t="n"/>
      <c r="I400" s="8" t="n"/>
      <c r="J400" s="14" t="n"/>
    </row>
    <row r="401">
      <c r="A401" s="16" t="n"/>
      <c r="B401" s="14" t="n"/>
      <c r="C401" s="14" t="n"/>
      <c r="D401" s="14" t="n"/>
      <c r="E401" s="10">
        <f>IF(D401="","",IFERROR(VLOOKUP(D401,選品庫!A:D,4,FALSE),"找不到"))</f>
        <v/>
      </c>
      <c r="F401" s="14" t="n"/>
      <c r="G401" s="14" t="n"/>
      <c r="H401" s="8" t="n"/>
      <c r="I401" s="8" t="n"/>
      <c r="J401" s="14" t="n"/>
    </row>
  </sheetData>
  <dataValidations count="1">
    <dataValidation sqref="B2:B401" showDropDown="0" showInputMessage="0" showErrorMessage="0" allowBlank="1" type="list">
      <formula1>"Threads,Instagram,蝦皮影音,YouTube,其他"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10" customWidth="1" min="5" max="5"/>
    <col width="16" customWidth="1" min="6" max="6"/>
    <col width="24" customWidth="1" min="7" max="7"/>
    <col width="12" customWidth="1" min="8" max="8"/>
  </cols>
  <sheetData>
    <row r="1" ht="28" customHeight="1">
      <c r="A1" s="3" t="inlineStr">
        <is>
          <t>日期</t>
        </is>
      </c>
      <c r="B1" s="3" t="inlineStr">
        <is>
          <t>平台</t>
        </is>
      </c>
      <c r="C1" s="3" t="inlineStr">
        <is>
          <t>點擊</t>
        </is>
      </c>
      <c r="D1" s="3" t="inlineStr">
        <is>
          <t>訂單數</t>
        </is>
      </c>
      <c r="E1" s="3" t="inlineStr">
        <is>
          <t>訂單金額</t>
        </is>
      </c>
      <c r="F1" s="3" t="inlineStr">
        <is>
          <t>分潤金（後台預估）</t>
        </is>
      </c>
      <c r="G1" s="3" t="inlineStr">
        <is>
          <t>備註</t>
        </is>
      </c>
      <c r="H1" s="3" t="inlineStr">
        <is>
          <t>月份（自動）</t>
        </is>
      </c>
    </row>
    <row r="2">
      <c r="A2" s="16" t="n"/>
      <c r="B2" s="14" t="n"/>
      <c r="C2" s="8" t="n"/>
      <c r="D2" s="8" t="n"/>
      <c r="E2" s="8" t="n"/>
      <c r="F2" s="8" t="n"/>
      <c r="G2" s="14" t="n"/>
      <c r="H2" s="10">
        <f>IF(A2="","",TEXT(A2,"yyyy-mm"))</f>
        <v/>
      </c>
    </row>
    <row r="3">
      <c r="A3" s="16" t="n"/>
      <c r="B3" s="14" t="n"/>
      <c r="C3" s="8" t="n"/>
      <c r="D3" s="8" t="n"/>
      <c r="E3" s="8" t="n"/>
      <c r="F3" s="8" t="n"/>
      <c r="G3" s="14" t="n"/>
      <c r="H3" s="10">
        <f>IF(A3="","",TEXT(A3,"yyyy-mm"))</f>
        <v/>
      </c>
    </row>
    <row r="4">
      <c r="A4" s="16" t="n"/>
      <c r="B4" s="14" t="n"/>
      <c r="C4" s="8" t="n"/>
      <c r="D4" s="8" t="n"/>
      <c r="E4" s="8" t="n"/>
      <c r="F4" s="8" t="n"/>
      <c r="G4" s="14" t="n"/>
      <c r="H4" s="10">
        <f>IF(A4="","",TEXT(A4,"yyyy-mm"))</f>
        <v/>
      </c>
    </row>
    <row r="5">
      <c r="A5" s="16" t="n"/>
      <c r="B5" s="14" t="n"/>
      <c r="C5" s="8" t="n"/>
      <c r="D5" s="8" t="n"/>
      <c r="E5" s="8" t="n"/>
      <c r="F5" s="8" t="n"/>
      <c r="G5" s="14" t="n"/>
      <c r="H5" s="10">
        <f>IF(A5="","",TEXT(A5,"yyyy-mm"))</f>
        <v/>
      </c>
    </row>
    <row r="6">
      <c r="A6" s="16" t="n"/>
      <c r="B6" s="14" t="n"/>
      <c r="C6" s="8" t="n"/>
      <c r="D6" s="8" t="n"/>
      <c r="E6" s="8" t="n"/>
      <c r="F6" s="8" t="n"/>
      <c r="G6" s="14" t="n"/>
      <c r="H6" s="10">
        <f>IF(A6="","",TEXT(A6,"yyyy-mm"))</f>
        <v/>
      </c>
    </row>
    <row r="7">
      <c r="A7" s="16" t="n"/>
      <c r="B7" s="14" t="n"/>
      <c r="C7" s="8" t="n"/>
      <c r="D7" s="8" t="n"/>
      <c r="E7" s="8" t="n"/>
      <c r="F7" s="8" t="n"/>
      <c r="G7" s="14" t="n"/>
      <c r="H7" s="10">
        <f>IF(A7="","",TEXT(A7,"yyyy-mm"))</f>
        <v/>
      </c>
    </row>
    <row r="8">
      <c r="A8" s="16" t="n"/>
      <c r="B8" s="14" t="n"/>
      <c r="C8" s="8" t="n"/>
      <c r="D8" s="8" t="n"/>
      <c r="E8" s="8" t="n"/>
      <c r="F8" s="8" t="n"/>
      <c r="G8" s="14" t="n"/>
      <c r="H8" s="10">
        <f>IF(A8="","",TEXT(A8,"yyyy-mm"))</f>
        <v/>
      </c>
    </row>
    <row r="9">
      <c r="A9" s="16" t="n"/>
      <c r="B9" s="14" t="n"/>
      <c r="C9" s="8" t="n"/>
      <c r="D9" s="8" t="n"/>
      <c r="E9" s="8" t="n"/>
      <c r="F9" s="8" t="n"/>
      <c r="G9" s="14" t="n"/>
      <c r="H9" s="10">
        <f>IF(A9="","",TEXT(A9,"yyyy-mm"))</f>
        <v/>
      </c>
    </row>
    <row r="10">
      <c r="A10" s="16" t="n"/>
      <c r="B10" s="14" t="n"/>
      <c r="C10" s="8" t="n"/>
      <c r="D10" s="8" t="n"/>
      <c r="E10" s="8" t="n"/>
      <c r="F10" s="8" t="n"/>
      <c r="G10" s="14" t="n"/>
      <c r="H10" s="10">
        <f>IF(A10="","",TEXT(A10,"yyyy-mm"))</f>
        <v/>
      </c>
    </row>
    <row r="11">
      <c r="A11" s="16" t="n"/>
      <c r="B11" s="14" t="n"/>
      <c r="C11" s="8" t="n"/>
      <c r="D11" s="8" t="n"/>
      <c r="E11" s="8" t="n"/>
      <c r="F11" s="8" t="n"/>
      <c r="G11" s="14" t="n"/>
      <c r="H11" s="10">
        <f>IF(A11="","",TEXT(A11,"yyyy-mm"))</f>
        <v/>
      </c>
    </row>
    <row r="12">
      <c r="A12" s="16" t="n"/>
      <c r="B12" s="14" t="n"/>
      <c r="C12" s="8" t="n"/>
      <c r="D12" s="8" t="n"/>
      <c r="E12" s="8" t="n"/>
      <c r="F12" s="8" t="n"/>
      <c r="G12" s="14" t="n"/>
      <c r="H12" s="10">
        <f>IF(A12="","",TEXT(A12,"yyyy-mm"))</f>
        <v/>
      </c>
    </row>
    <row r="13">
      <c r="A13" s="16" t="n"/>
      <c r="B13" s="14" t="n"/>
      <c r="C13" s="8" t="n"/>
      <c r="D13" s="8" t="n"/>
      <c r="E13" s="8" t="n"/>
      <c r="F13" s="8" t="n"/>
      <c r="G13" s="14" t="n"/>
      <c r="H13" s="10">
        <f>IF(A13="","",TEXT(A13,"yyyy-mm"))</f>
        <v/>
      </c>
    </row>
    <row r="14">
      <c r="A14" s="16" t="n"/>
      <c r="B14" s="14" t="n"/>
      <c r="C14" s="8" t="n"/>
      <c r="D14" s="8" t="n"/>
      <c r="E14" s="8" t="n"/>
      <c r="F14" s="8" t="n"/>
      <c r="G14" s="14" t="n"/>
      <c r="H14" s="10">
        <f>IF(A14="","",TEXT(A14,"yyyy-mm"))</f>
        <v/>
      </c>
    </row>
    <row r="15">
      <c r="A15" s="16" t="n"/>
      <c r="B15" s="14" t="n"/>
      <c r="C15" s="8" t="n"/>
      <c r="D15" s="8" t="n"/>
      <c r="E15" s="8" t="n"/>
      <c r="F15" s="8" t="n"/>
      <c r="G15" s="14" t="n"/>
      <c r="H15" s="10">
        <f>IF(A15="","",TEXT(A15,"yyyy-mm"))</f>
        <v/>
      </c>
    </row>
    <row r="16">
      <c r="A16" s="16" t="n"/>
      <c r="B16" s="14" t="n"/>
      <c r="C16" s="8" t="n"/>
      <c r="D16" s="8" t="n"/>
      <c r="E16" s="8" t="n"/>
      <c r="F16" s="8" t="n"/>
      <c r="G16" s="14" t="n"/>
      <c r="H16" s="10">
        <f>IF(A16="","",TEXT(A16,"yyyy-mm"))</f>
        <v/>
      </c>
    </row>
    <row r="17">
      <c r="A17" s="16" t="n"/>
      <c r="B17" s="14" t="n"/>
      <c r="C17" s="8" t="n"/>
      <c r="D17" s="8" t="n"/>
      <c r="E17" s="8" t="n"/>
      <c r="F17" s="8" t="n"/>
      <c r="G17" s="14" t="n"/>
      <c r="H17" s="10">
        <f>IF(A17="","",TEXT(A17,"yyyy-mm"))</f>
        <v/>
      </c>
    </row>
    <row r="18">
      <c r="A18" s="16" t="n"/>
      <c r="B18" s="14" t="n"/>
      <c r="C18" s="8" t="n"/>
      <c r="D18" s="8" t="n"/>
      <c r="E18" s="8" t="n"/>
      <c r="F18" s="8" t="n"/>
      <c r="G18" s="14" t="n"/>
      <c r="H18" s="10">
        <f>IF(A18="","",TEXT(A18,"yyyy-mm"))</f>
        <v/>
      </c>
    </row>
    <row r="19">
      <c r="A19" s="16" t="n"/>
      <c r="B19" s="14" t="n"/>
      <c r="C19" s="8" t="n"/>
      <c r="D19" s="8" t="n"/>
      <c r="E19" s="8" t="n"/>
      <c r="F19" s="8" t="n"/>
      <c r="G19" s="14" t="n"/>
      <c r="H19" s="10">
        <f>IF(A19="","",TEXT(A19,"yyyy-mm"))</f>
        <v/>
      </c>
    </row>
    <row r="20">
      <c r="A20" s="16" t="n"/>
      <c r="B20" s="14" t="n"/>
      <c r="C20" s="8" t="n"/>
      <c r="D20" s="8" t="n"/>
      <c r="E20" s="8" t="n"/>
      <c r="F20" s="8" t="n"/>
      <c r="G20" s="14" t="n"/>
      <c r="H20" s="10">
        <f>IF(A20="","",TEXT(A20,"yyyy-mm"))</f>
        <v/>
      </c>
    </row>
    <row r="21">
      <c r="A21" s="16" t="n"/>
      <c r="B21" s="14" t="n"/>
      <c r="C21" s="8" t="n"/>
      <c r="D21" s="8" t="n"/>
      <c r="E21" s="8" t="n"/>
      <c r="F21" s="8" t="n"/>
      <c r="G21" s="14" t="n"/>
      <c r="H21" s="10">
        <f>IF(A21="","",TEXT(A21,"yyyy-mm"))</f>
        <v/>
      </c>
    </row>
    <row r="22">
      <c r="A22" s="16" t="n"/>
      <c r="B22" s="14" t="n"/>
      <c r="C22" s="8" t="n"/>
      <c r="D22" s="8" t="n"/>
      <c r="E22" s="8" t="n"/>
      <c r="F22" s="8" t="n"/>
      <c r="G22" s="14" t="n"/>
      <c r="H22" s="10">
        <f>IF(A22="","",TEXT(A22,"yyyy-mm"))</f>
        <v/>
      </c>
    </row>
    <row r="23">
      <c r="A23" s="16" t="n"/>
      <c r="B23" s="14" t="n"/>
      <c r="C23" s="8" t="n"/>
      <c r="D23" s="8" t="n"/>
      <c r="E23" s="8" t="n"/>
      <c r="F23" s="8" t="n"/>
      <c r="G23" s="14" t="n"/>
      <c r="H23" s="10">
        <f>IF(A23="","",TEXT(A23,"yyyy-mm"))</f>
        <v/>
      </c>
    </row>
    <row r="24">
      <c r="A24" s="16" t="n"/>
      <c r="B24" s="14" t="n"/>
      <c r="C24" s="8" t="n"/>
      <c r="D24" s="8" t="n"/>
      <c r="E24" s="8" t="n"/>
      <c r="F24" s="8" t="n"/>
      <c r="G24" s="14" t="n"/>
      <c r="H24" s="10">
        <f>IF(A24="","",TEXT(A24,"yyyy-mm"))</f>
        <v/>
      </c>
    </row>
    <row r="25">
      <c r="A25" s="16" t="n"/>
      <c r="B25" s="14" t="n"/>
      <c r="C25" s="8" t="n"/>
      <c r="D25" s="8" t="n"/>
      <c r="E25" s="8" t="n"/>
      <c r="F25" s="8" t="n"/>
      <c r="G25" s="14" t="n"/>
      <c r="H25" s="10">
        <f>IF(A25="","",TEXT(A25,"yyyy-mm"))</f>
        <v/>
      </c>
    </row>
    <row r="26">
      <c r="A26" s="16" t="n"/>
      <c r="B26" s="14" t="n"/>
      <c r="C26" s="8" t="n"/>
      <c r="D26" s="8" t="n"/>
      <c r="E26" s="8" t="n"/>
      <c r="F26" s="8" t="n"/>
      <c r="G26" s="14" t="n"/>
      <c r="H26" s="10">
        <f>IF(A26="","",TEXT(A26,"yyyy-mm"))</f>
        <v/>
      </c>
    </row>
    <row r="27">
      <c r="A27" s="16" t="n"/>
      <c r="B27" s="14" t="n"/>
      <c r="C27" s="8" t="n"/>
      <c r="D27" s="8" t="n"/>
      <c r="E27" s="8" t="n"/>
      <c r="F27" s="8" t="n"/>
      <c r="G27" s="14" t="n"/>
      <c r="H27" s="10">
        <f>IF(A27="","",TEXT(A27,"yyyy-mm"))</f>
        <v/>
      </c>
    </row>
    <row r="28">
      <c r="A28" s="16" t="n"/>
      <c r="B28" s="14" t="n"/>
      <c r="C28" s="8" t="n"/>
      <c r="D28" s="8" t="n"/>
      <c r="E28" s="8" t="n"/>
      <c r="F28" s="8" t="n"/>
      <c r="G28" s="14" t="n"/>
      <c r="H28" s="10">
        <f>IF(A28="","",TEXT(A28,"yyyy-mm"))</f>
        <v/>
      </c>
    </row>
    <row r="29">
      <c r="A29" s="16" t="n"/>
      <c r="B29" s="14" t="n"/>
      <c r="C29" s="8" t="n"/>
      <c r="D29" s="8" t="n"/>
      <c r="E29" s="8" t="n"/>
      <c r="F29" s="8" t="n"/>
      <c r="G29" s="14" t="n"/>
      <c r="H29" s="10">
        <f>IF(A29="","",TEXT(A29,"yyyy-mm"))</f>
        <v/>
      </c>
    </row>
    <row r="30">
      <c r="A30" s="16" t="n"/>
      <c r="B30" s="14" t="n"/>
      <c r="C30" s="8" t="n"/>
      <c r="D30" s="8" t="n"/>
      <c r="E30" s="8" t="n"/>
      <c r="F30" s="8" t="n"/>
      <c r="G30" s="14" t="n"/>
      <c r="H30" s="10">
        <f>IF(A30="","",TEXT(A30,"yyyy-mm"))</f>
        <v/>
      </c>
    </row>
    <row r="31">
      <c r="A31" s="16" t="n"/>
      <c r="B31" s="14" t="n"/>
      <c r="C31" s="8" t="n"/>
      <c r="D31" s="8" t="n"/>
      <c r="E31" s="8" t="n"/>
      <c r="F31" s="8" t="n"/>
      <c r="G31" s="14" t="n"/>
      <c r="H31" s="10">
        <f>IF(A31="","",TEXT(A31,"yyyy-mm"))</f>
        <v/>
      </c>
    </row>
    <row r="32">
      <c r="A32" s="16" t="n"/>
      <c r="B32" s="14" t="n"/>
      <c r="C32" s="8" t="n"/>
      <c r="D32" s="8" t="n"/>
      <c r="E32" s="8" t="n"/>
      <c r="F32" s="8" t="n"/>
      <c r="G32" s="14" t="n"/>
      <c r="H32" s="10">
        <f>IF(A32="","",TEXT(A32,"yyyy-mm"))</f>
        <v/>
      </c>
    </row>
    <row r="33">
      <c r="A33" s="16" t="n"/>
      <c r="B33" s="14" t="n"/>
      <c r="C33" s="8" t="n"/>
      <c r="D33" s="8" t="n"/>
      <c r="E33" s="8" t="n"/>
      <c r="F33" s="8" t="n"/>
      <c r="G33" s="14" t="n"/>
      <c r="H33" s="10">
        <f>IF(A33="","",TEXT(A33,"yyyy-mm"))</f>
        <v/>
      </c>
    </row>
    <row r="34">
      <c r="A34" s="16" t="n"/>
      <c r="B34" s="14" t="n"/>
      <c r="C34" s="8" t="n"/>
      <c r="D34" s="8" t="n"/>
      <c r="E34" s="8" t="n"/>
      <c r="F34" s="8" t="n"/>
      <c r="G34" s="14" t="n"/>
      <c r="H34" s="10">
        <f>IF(A34="","",TEXT(A34,"yyyy-mm"))</f>
        <v/>
      </c>
    </row>
    <row r="35">
      <c r="A35" s="16" t="n"/>
      <c r="B35" s="14" t="n"/>
      <c r="C35" s="8" t="n"/>
      <c r="D35" s="8" t="n"/>
      <c r="E35" s="8" t="n"/>
      <c r="F35" s="8" t="n"/>
      <c r="G35" s="14" t="n"/>
      <c r="H35" s="10">
        <f>IF(A35="","",TEXT(A35,"yyyy-mm"))</f>
        <v/>
      </c>
    </row>
    <row r="36">
      <c r="A36" s="16" t="n"/>
      <c r="B36" s="14" t="n"/>
      <c r="C36" s="8" t="n"/>
      <c r="D36" s="8" t="n"/>
      <c r="E36" s="8" t="n"/>
      <c r="F36" s="8" t="n"/>
      <c r="G36" s="14" t="n"/>
      <c r="H36" s="10">
        <f>IF(A36="","",TEXT(A36,"yyyy-mm"))</f>
        <v/>
      </c>
    </row>
    <row r="37">
      <c r="A37" s="16" t="n"/>
      <c r="B37" s="14" t="n"/>
      <c r="C37" s="8" t="n"/>
      <c r="D37" s="8" t="n"/>
      <c r="E37" s="8" t="n"/>
      <c r="F37" s="8" t="n"/>
      <c r="G37" s="14" t="n"/>
      <c r="H37" s="10">
        <f>IF(A37="","",TEXT(A37,"yyyy-mm"))</f>
        <v/>
      </c>
    </row>
    <row r="38">
      <c r="A38" s="16" t="n"/>
      <c r="B38" s="14" t="n"/>
      <c r="C38" s="8" t="n"/>
      <c r="D38" s="8" t="n"/>
      <c r="E38" s="8" t="n"/>
      <c r="F38" s="8" t="n"/>
      <c r="G38" s="14" t="n"/>
      <c r="H38" s="10">
        <f>IF(A38="","",TEXT(A38,"yyyy-mm"))</f>
        <v/>
      </c>
    </row>
    <row r="39">
      <c r="A39" s="16" t="n"/>
      <c r="B39" s="14" t="n"/>
      <c r="C39" s="8" t="n"/>
      <c r="D39" s="8" t="n"/>
      <c r="E39" s="8" t="n"/>
      <c r="F39" s="8" t="n"/>
      <c r="G39" s="14" t="n"/>
      <c r="H39" s="10">
        <f>IF(A39="","",TEXT(A39,"yyyy-mm"))</f>
        <v/>
      </c>
    </row>
    <row r="40">
      <c r="A40" s="16" t="n"/>
      <c r="B40" s="14" t="n"/>
      <c r="C40" s="8" t="n"/>
      <c r="D40" s="8" t="n"/>
      <c r="E40" s="8" t="n"/>
      <c r="F40" s="8" t="n"/>
      <c r="G40" s="14" t="n"/>
      <c r="H40" s="10">
        <f>IF(A40="","",TEXT(A40,"yyyy-mm"))</f>
        <v/>
      </c>
    </row>
    <row r="41">
      <c r="A41" s="16" t="n"/>
      <c r="B41" s="14" t="n"/>
      <c r="C41" s="8" t="n"/>
      <c r="D41" s="8" t="n"/>
      <c r="E41" s="8" t="n"/>
      <c r="F41" s="8" t="n"/>
      <c r="G41" s="14" t="n"/>
      <c r="H41" s="10">
        <f>IF(A41="","",TEXT(A41,"yyyy-mm"))</f>
        <v/>
      </c>
    </row>
    <row r="42">
      <c r="A42" s="16" t="n"/>
      <c r="B42" s="14" t="n"/>
      <c r="C42" s="8" t="n"/>
      <c r="D42" s="8" t="n"/>
      <c r="E42" s="8" t="n"/>
      <c r="F42" s="8" t="n"/>
      <c r="G42" s="14" t="n"/>
      <c r="H42" s="10">
        <f>IF(A42="","",TEXT(A42,"yyyy-mm"))</f>
        <v/>
      </c>
    </row>
    <row r="43">
      <c r="A43" s="16" t="n"/>
      <c r="B43" s="14" t="n"/>
      <c r="C43" s="8" t="n"/>
      <c r="D43" s="8" t="n"/>
      <c r="E43" s="8" t="n"/>
      <c r="F43" s="8" t="n"/>
      <c r="G43" s="14" t="n"/>
      <c r="H43" s="10">
        <f>IF(A43="","",TEXT(A43,"yyyy-mm"))</f>
        <v/>
      </c>
    </row>
    <row r="44">
      <c r="A44" s="16" t="n"/>
      <c r="B44" s="14" t="n"/>
      <c r="C44" s="8" t="n"/>
      <c r="D44" s="8" t="n"/>
      <c r="E44" s="8" t="n"/>
      <c r="F44" s="8" t="n"/>
      <c r="G44" s="14" t="n"/>
      <c r="H44" s="10">
        <f>IF(A44="","",TEXT(A44,"yyyy-mm"))</f>
        <v/>
      </c>
    </row>
    <row r="45">
      <c r="A45" s="16" t="n"/>
      <c r="B45" s="14" t="n"/>
      <c r="C45" s="8" t="n"/>
      <c r="D45" s="8" t="n"/>
      <c r="E45" s="8" t="n"/>
      <c r="F45" s="8" t="n"/>
      <c r="G45" s="14" t="n"/>
      <c r="H45" s="10">
        <f>IF(A45="","",TEXT(A45,"yyyy-mm"))</f>
        <v/>
      </c>
    </row>
    <row r="46">
      <c r="A46" s="16" t="n"/>
      <c r="B46" s="14" t="n"/>
      <c r="C46" s="8" t="n"/>
      <c r="D46" s="8" t="n"/>
      <c r="E46" s="8" t="n"/>
      <c r="F46" s="8" t="n"/>
      <c r="G46" s="14" t="n"/>
      <c r="H46" s="10">
        <f>IF(A46="","",TEXT(A46,"yyyy-mm"))</f>
        <v/>
      </c>
    </row>
    <row r="47">
      <c r="A47" s="16" t="n"/>
      <c r="B47" s="14" t="n"/>
      <c r="C47" s="8" t="n"/>
      <c r="D47" s="8" t="n"/>
      <c r="E47" s="8" t="n"/>
      <c r="F47" s="8" t="n"/>
      <c r="G47" s="14" t="n"/>
      <c r="H47" s="10">
        <f>IF(A47="","",TEXT(A47,"yyyy-mm"))</f>
        <v/>
      </c>
    </row>
    <row r="48">
      <c r="A48" s="16" t="n"/>
      <c r="B48" s="14" t="n"/>
      <c r="C48" s="8" t="n"/>
      <c r="D48" s="8" t="n"/>
      <c r="E48" s="8" t="n"/>
      <c r="F48" s="8" t="n"/>
      <c r="G48" s="14" t="n"/>
      <c r="H48" s="10">
        <f>IF(A48="","",TEXT(A48,"yyyy-mm"))</f>
        <v/>
      </c>
    </row>
    <row r="49">
      <c r="A49" s="16" t="n"/>
      <c r="B49" s="14" t="n"/>
      <c r="C49" s="8" t="n"/>
      <c r="D49" s="8" t="n"/>
      <c r="E49" s="8" t="n"/>
      <c r="F49" s="8" t="n"/>
      <c r="G49" s="14" t="n"/>
      <c r="H49" s="10">
        <f>IF(A49="","",TEXT(A49,"yyyy-mm"))</f>
        <v/>
      </c>
    </row>
    <row r="50">
      <c r="A50" s="16" t="n"/>
      <c r="B50" s="14" t="n"/>
      <c r="C50" s="8" t="n"/>
      <c r="D50" s="8" t="n"/>
      <c r="E50" s="8" t="n"/>
      <c r="F50" s="8" t="n"/>
      <c r="G50" s="14" t="n"/>
      <c r="H50" s="10">
        <f>IF(A50="","",TEXT(A50,"yyyy-mm"))</f>
        <v/>
      </c>
    </row>
    <row r="51">
      <c r="A51" s="16" t="n"/>
      <c r="B51" s="14" t="n"/>
      <c r="C51" s="8" t="n"/>
      <c r="D51" s="8" t="n"/>
      <c r="E51" s="8" t="n"/>
      <c r="F51" s="8" t="n"/>
      <c r="G51" s="14" t="n"/>
      <c r="H51" s="10">
        <f>IF(A51="","",TEXT(A51,"yyyy-mm"))</f>
        <v/>
      </c>
    </row>
    <row r="52">
      <c r="A52" s="16" t="n"/>
      <c r="B52" s="14" t="n"/>
      <c r="C52" s="8" t="n"/>
      <c r="D52" s="8" t="n"/>
      <c r="E52" s="8" t="n"/>
      <c r="F52" s="8" t="n"/>
      <c r="G52" s="14" t="n"/>
      <c r="H52" s="10">
        <f>IF(A52="","",TEXT(A52,"yyyy-mm"))</f>
        <v/>
      </c>
    </row>
    <row r="53">
      <c r="A53" s="16" t="n"/>
      <c r="B53" s="14" t="n"/>
      <c r="C53" s="8" t="n"/>
      <c r="D53" s="8" t="n"/>
      <c r="E53" s="8" t="n"/>
      <c r="F53" s="8" t="n"/>
      <c r="G53" s="14" t="n"/>
      <c r="H53" s="10">
        <f>IF(A53="","",TEXT(A53,"yyyy-mm"))</f>
        <v/>
      </c>
    </row>
    <row r="54">
      <c r="A54" s="16" t="n"/>
      <c r="B54" s="14" t="n"/>
      <c r="C54" s="8" t="n"/>
      <c r="D54" s="8" t="n"/>
      <c r="E54" s="8" t="n"/>
      <c r="F54" s="8" t="n"/>
      <c r="G54" s="14" t="n"/>
      <c r="H54" s="10">
        <f>IF(A54="","",TEXT(A54,"yyyy-mm"))</f>
        <v/>
      </c>
    </row>
    <row r="55">
      <c r="A55" s="16" t="n"/>
      <c r="B55" s="14" t="n"/>
      <c r="C55" s="8" t="n"/>
      <c r="D55" s="8" t="n"/>
      <c r="E55" s="8" t="n"/>
      <c r="F55" s="8" t="n"/>
      <c r="G55" s="14" t="n"/>
      <c r="H55" s="10">
        <f>IF(A55="","",TEXT(A55,"yyyy-mm"))</f>
        <v/>
      </c>
    </row>
    <row r="56">
      <c r="A56" s="16" t="n"/>
      <c r="B56" s="14" t="n"/>
      <c r="C56" s="8" t="n"/>
      <c r="D56" s="8" t="n"/>
      <c r="E56" s="8" t="n"/>
      <c r="F56" s="8" t="n"/>
      <c r="G56" s="14" t="n"/>
      <c r="H56" s="10">
        <f>IF(A56="","",TEXT(A56,"yyyy-mm"))</f>
        <v/>
      </c>
    </row>
    <row r="57">
      <c r="A57" s="16" t="n"/>
      <c r="B57" s="14" t="n"/>
      <c r="C57" s="8" t="n"/>
      <c r="D57" s="8" t="n"/>
      <c r="E57" s="8" t="n"/>
      <c r="F57" s="8" t="n"/>
      <c r="G57" s="14" t="n"/>
      <c r="H57" s="10">
        <f>IF(A57="","",TEXT(A57,"yyyy-mm"))</f>
        <v/>
      </c>
    </row>
    <row r="58">
      <c r="A58" s="16" t="n"/>
      <c r="B58" s="14" t="n"/>
      <c r="C58" s="8" t="n"/>
      <c r="D58" s="8" t="n"/>
      <c r="E58" s="8" t="n"/>
      <c r="F58" s="8" t="n"/>
      <c r="G58" s="14" t="n"/>
      <c r="H58" s="10">
        <f>IF(A58="","",TEXT(A58,"yyyy-mm"))</f>
        <v/>
      </c>
    </row>
    <row r="59">
      <c r="A59" s="16" t="n"/>
      <c r="B59" s="14" t="n"/>
      <c r="C59" s="8" t="n"/>
      <c r="D59" s="8" t="n"/>
      <c r="E59" s="8" t="n"/>
      <c r="F59" s="8" t="n"/>
      <c r="G59" s="14" t="n"/>
      <c r="H59" s="10">
        <f>IF(A59="","",TEXT(A59,"yyyy-mm"))</f>
        <v/>
      </c>
    </row>
    <row r="60">
      <c r="A60" s="16" t="n"/>
      <c r="B60" s="14" t="n"/>
      <c r="C60" s="8" t="n"/>
      <c r="D60" s="8" t="n"/>
      <c r="E60" s="8" t="n"/>
      <c r="F60" s="8" t="n"/>
      <c r="G60" s="14" t="n"/>
      <c r="H60" s="10">
        <f>IF(A60="","",TEXT(A60,"yyyy-mm"))</f>
        <v/>
      </c>
    </row>
    <row r="61">
      <c r="A61" s="16" t="n"/>
      <c r="B61" s="14" t="n"/>
      <c r="C61" s="8" t="n"/>
      <c r="D61" s="8" t="n"/>
      <c r="E61" s="8" t="n"/>
      <c r="F61" s="8" t="n"/>
      <c r="G61" s="14" t="n"/>
      <c r="H61" s="10">
        <f>IF(A61="","",TEXT(A61,"yyyy-mm"))</f>
        <v/>
      </c>
    </row>
    <row r="62">
      <c r="A62" s="16" t="n"/>
      <c r="B62" s="14" t="n"/>
      <c r="C62" s="8" t="n"/>
      <c r="D62" s="8" t="n"/>
      <c r="E62" s="8" t="n"/>
      <c r="F62" s="8" t="n"/>
      <c r="G62" s="14" t="n"/>
      <c r="H62" s="10">
        <f>IF(A62="","",TEXT(A62,"yyyy-mm"))</f>
        <v/>
      </c>
    </row>
    <row r="63">
      <c r="A63" s="16" t="n"/>
      <c r="B63" s="14" t="n"/>
      <c r="C63" s="8" t="n"/>
      <c r="D63" s="8" t="n"/>
      <c r="E63" s="8" t="n"/>
      <c r="F63" s="8" t="n"/>
      <c r="G63" s="14" t="n"/>
      <c r="H63" s="10">
        <f>IF(A63="","",TEXT(A63,"yyyy-mm"))</f>
        <v/>
      </c>
    </row>
    <row r="64">
      <c r="A64" s="16" t="n"/>
      <c r="B64" s="14" t="n"/>
      <c r="C64" s="8" t="n"/>
      <c r="D64" s="8" t="n"/>
      <c r="E64" s="8" t="n"/>
      <c r="F64" s="8" t="n"/>
      <c r="G64" s="14" t="n"/>
      <c r="H64" s="10">
        <f>IF(A64="","",TEXT(A64,"yyyy-mm"))</f>
        <v/>
      </c>
    </row>
    <row r="65">
      <c r="A65" s="16" t="n"/>
      <c r="B65" s="14" t="n"/>
      <c r="C65" s="8" t="n"/>
      <c r="D65" s="8" t="n"/>
      <c r="E65" s="8" t="n"/>
      <c r="F65" s="8" t="n"/>
      <c r="G65" s="14" t="n"/>
      <c r="H65" s="10">
        <f>IF(A65="","",TEXT(A65,"yyyy-mm"))</f>
        <v/>
      </c>
    </row>
    <row r="66">
      <c r="A66" s="16" t="n"/>
      <c r="B66" s="14" t="n"/>
      <c r="C66" s="8" t="n"/>
      <c r="D66" s="8" t="n"/>
      <c r="E66" s="8" t="n"/>
      <c r="F66" s="8" t="n"/>
      <c r="G66" s="14" t="n"/>
      <c r="H66" s="10">
        <f>IF(A66="","",TEXT(A66,"yyyy-mm"))</f>
        <v/>
      </c>
    </row>
    <row r="67">
      <c r="A67" s="16" t="n"/>
      <c r="B67" s="14" t="n"/>
      <c r="C67" s="8" t="n"/>
      <c r="D67" s="8" t="n"/>
      <c r="E67" s="8" t="n"/>
      <c r="F67" s="8" t="n"/>
      <c r="G67" s="14" t="n"/>
      <c r="H67" s="10">
        <f>IF(A67="","",TEXT(A67,"yyyy-mm"))</f>
        <v/>
      </c>
    </row>
    <row r="68">
      <c r="A68" s="16" t="n"/>
      <c r="B68" s="14" t="n"/>
      <c r="C68" s="8" t="n"/>
      <c r="D68" s="8" t="n"/>
      <c r="E68" s="8" t="n"/>
      <c r="F68" s="8" t="n"/>
      <c r="G68" s="14" t="n"/>
      <c r="H68" s="10">
        <f>IF(A68="","",TEXT(A68,"yyyy-mm"))</f>
        <v/>
      </c>
    </row>
    <row r="69">
      <c r="A69" s="16" t="n"/>
      <c r="B69" s="14" t="n"/>
      <c r="C69" s="8" t="n"/>
      <c r="D69" s="8" t="n"/>
      <c r="E69" s="8" t="n"/>
      <c r="F69" s="8" t="n"/>
      <c r="G69" s="14" t="n"/>
      <c r="H69" s="10">
        <f>IF(A69="","",TEXT(A69,"yyyy-mm"))</f>
        <v/>
      </c>
    </row>
    <row r="70">
      <c r="A70" s="16" t="n"/>
      <c r="B70" s="14" t="n"/>
      <c r="C70" s="8" t="n"/>
      <c r="D70" s="8" t="n"/>
      <c r="E70" s="8" t="n"/>
      <c r="F70" s="8" t="n"/>
      <c r="G70" s="14" t="n"/>
      <c r="H70" s="10">
        <f>IF(A70="","",TEXT(A70,"yyyy-mm"))</f>
        <v/>
      </c>
    </row>
    <row r="71">
      <c r="A71" s="16" t="n"/>
      <c r="B71" s="14" t="n"/>
      <c r="C71" s="8" t="n"/>
      <c r="D71" s="8" t="n"/>
      <c r="E71" s="8" t="n"/>
      <c r="F71" s="8" t="n"/>
      <c r="G71" s="14" t="n"/>
      <c r="H71" s="10">
        <f>IF(A71="","",TEXT(A71,"yyyy-mm"))</f>
        <v/>
      </c>
    </row>
    <row r="72">
      <c r="A72" s="16" t="n"/>
      <c r="B72" s="14" t="n"/>
      <c r="C72" s="8" t="n"/>
      <c r="D72" s="8" t="n"/>
      <c r="E72" s="8" t="n"/>
      <c r="F72" s="8" t="n"/>
      <c r="G72" s="14" t="n"/>
      <c r="H72" s="10">
        <f>IF(A72="","",TEXT(A72,"yyyy-mm"))</f>
        <v/>
      </c>
    </row>
    <row r="73">
      <c r="A73" s="16" t="n"/>
      <c r="B73" s="14" t="n"/>
      <c r="C73" s="8" t="n"/>
      <c r="D73" s="8" t="n"/>
      <c r="E73" s="8" t="n"/>
      <c r="F73" s="8" t="n"/>
      <c r="G73" s="14" t="n"/>
      <c r="H73" s="10">
        <f>IF(A73="","",TEXT(A73,"yyyy-mm"))</f>
        <v/>
      </c>
    </row>
    <row r="74">
      <c r="A74" s="16" t="n"/>
      <c r="B74" s="14" t="n"/>
      <c r="C74" s="8" t="n"/>
      <c r="D74" s="8" t="n"/>
      <c r="E74" s="8" t="n"/>
      <c r="F74" s="8" t="n"/>
      <c r="G74" s="14" t="n"/>
      <c r="H74" s="10">
        <f>IF(A74="","",TEXT(A74,"yyyy-mm"))</f>
        <v/>
      </c>
    </row>
    <row r="75">
      <c r="A75" s="16" t="n"/>
      <c r="B75" s="14" t="n"/>
      <c r="C75" s="8" t="n"/>
      <c r="D75" s="8" t="n"/>
      <c r="E75" s="8" t="n"/>
      <c r="F75" s="8" t="n"/>
      <c r="G75" s="14" t="n"/>
      <c r="H75" s="10">
        <f>IF(A75="","",TEXT(A75,"yyyy-mm"))</f>
        <v/>
      </c>
    </row>
    <row r="76">
      <c r="A76" s="16" t="n"/>
      <c r="B76" s="14" t="n"/>
      <c r="C76" s="8" t="n"/>
      <c r="D76" s="8" t="n"/>
      <c r="E76" s="8" t="n"/>
      <c r="F76" s="8" t="n"/>
      <c r="G76" s="14" t="n"/>
      <c r="H76" s="10">
        <f>IF(A76="","",TEXT(A76,"yyyy-mm"))</f>
        <v/>
      </c>
    </row>
    <row r="77">
      <c r="A77" s="16" t="n"/>
      <c r="B77" s="14" t="n"/>
      <c r="C77" s="8" t="n"/>
      <c r="D77" s="8" t="n"/>
      <c r="E77" s="8" t="n"/>
      <c r="F77" s="8" t="n"/>
      <c r="G77" s="14" t="n"/>
      <c r="H77" s="10">
        <f>IF(A77="","",TEXT(A77,"yyyy-mm"))</f>
        <v/>
      </c>
    </row>
    <row r="78">
      <c r="A78" s="16" t="n"/>
      <c r="B78" s="14" t="n"/>
      <c r="C78" s="8" t="n"/>
      <c r="D78" s="8" t="n"/>
      <c r="E78" s="8" t="n"/>
      <c r="F78" s="8" t="n"/>
      <c r="G78" s="14" t="n"/>
      <c r="H78" s="10">
        <f>IF(A78="","",TEXT(A78,"yyyy-mm"))</f>
        <v/>
      </c>
    </row>
    <row r="79">
      <c r="A79" s="16" t="n"/>
      <c r="B79" s="14" t="n"/>
      <c r="C79" s="8" t="n"/>
      <c r="D79" s="8" t="n"/>
      <c r="E79" s="8" t="n"/>
      <c r="F79" s="8" t="n"/>
      <c r="G79" s="14" t="n"/>
      <c r="H79" s="10">
        <f>IF(A79="","",TEXT(A79,"yyyy-mm"))</f>
        <v/>
      </c>
    </row>
    <row r="80">
      <c r="A80" s="16" t="n"/>
      <c r="B80" s="14" t="n"/>
      <c r="C80" s="8" t="n"/>
      <c r="D80" s="8" t="n"/>
      <c r="E80" s="8" t="n"/>
      <c r="F80" s="8" t="n"/>
      <c r="G80" s="14" t="n"/>
      <c r="H80" s="10">
        <f>IF(A80="","",TEXT(A80,"yyyy-mm"))</f>
        <v/>
      </c>
    </row>
    <row r="81">
      <c r="A81" s="16" t="n"/>
      <c r="B81" s="14" t="n"/>
      <c r="C81" s="8" t="n"/>
      <c r="D81" s="8" t="n"/>
      <c r="E81" s="8" t="n"/>
      <c r="F81" s="8" t="n"/>
      <c r="G81" s="14" t="n"/>
      <c r="H81" s="10">
        <f>IF(A81="","",TEXT(A81,"yyyy-mm"))</f>
        <v/>
      </c>
    </row>
    <row r="82">
      <c r="A82" s="16" t="n"/>
      <c r="B82" s="14" t="n"/>
      <c r="C82" s="8" t="n"/>
      <c r="D82" s="8" t="n"/>
      <c r="E82" s="8" t="n"/>
      <c r="F82" s="8" t="n"/>
      <c r="G82" s="14" t="n"/>
      <c r="H82" s="10">
        <f>IF(A82="","",TEXT(A82,"yyyy-mm"))</f>
        <v/>
      </c>
    </row>
    <row r="83">
      <c r="A83" s="16" t="n"/>
      <c r="B83" s="14" t="n"/>
      <c r="C83" s="8" t="n"/>
      <c r="D83" s="8" t="n"/>
      <c r="E83" s="8" t="n"/>
      <c r="F83" s="8" t="n"/>
      <c r="G83" s="14" t="n"/>
      <c r="H83" s="10">
        <f>IF(A83="","",TEXT(A83,"yyyy-mm"))</f>
        <v/>
      </c>
    </row>
    <row r="84">
      <c r="A84" s="16" t="n"/>
      <c r="B84" s="14" t="n"/>
      <c r="C84" s="8" t="n"/>
      <c r="D84" s="8" t="n"/>
      <c r="E84" s="8" t="n"/>
      <c r="F84" s="8" t="n"/>
      <c r="G84" s="14" t="n"/>
      <c r="H84" s="10">
        <f>IF(A84="","",TEXT(A84,"yyyy-mm"))</f>
        <v/>
      </c>
    </row>
    <row r="85">
      <c r="A85" s="16" t="n"/>
      <c r="B85" s="14" t="n"/>
      <c r="C85" s="8" t="n"/>
      <c r="D85" s="8" t="n"/>
      <c r="E85" s="8" t="n"/>
      <c r="F85" s="8" t="n"/>
      <c r="G85" s="14" t="n"/>
      <c r="H85" s="10">
        <f>IF(A85="","",TEXT(A85,"yyyy-mm"))</f>
        <v/>
      </c>
    </row>
    <row r="86">
      <c r="A86" s="16" t="n"/>
      <c r="B86" s="14" t="n"/>
      <c r="C86" s="8" t="n"/>
      <c r="D86" s="8" t="n"/>
      <c r="E86" s="8" t="n"/>
      <c r="F86" s="8" t="n"/>
      <c r="G86" s="14" t="n"/>
      <c r="H86" s="10">
        <f>IF(A86="","",TEXT(A86,"yyyy-mm"))</f>
        <v/>
      </c>
    </row>
    <row r="87">
      <c r="A87" s="16" t="n"/>
      <c r="B87" s="14" t="n"/>
      <c r="C87" s="8" t="n"/>
      <c r="D87" s="8" t="n"/>
      <c r="E87" s="8" t="n"/>
      <c r="F87" s="8" t="n"/>
      <c r="G87" s="14" t="n"/>
      <c r="H87" s="10">
        <f>IF(A87="","",TEXT(A87,"yyyy-mm"))</f>
        <v/>
      </c>
    </row>
    <row r="88">
      <c r="A88" s="16" t="n"/>
      <c r="B88" s="14" t="n"/>
      <c r="C88" s="8" t="n"/>
      <c r="D88" s="8" t="n"/>
      <c r="E88" s="8" t="n"/>
      <c r="F88" s="8" t="n"/>
      <c r="G88" s="14" t="n"/>
      <c r="H88" s="10">
        <f>IF(A88="","",TEXT(A88,"yyyy-mm"))</f>
        <v/>
      </c>
    </row>
    <row r="89">
      <c r="A89" s="16" t="n"/>
      <c r="B89" s="14" t="n"/>
      <c r="C89" s="8" t="n"/>
      <c r="D89" s="8" t="n"/>
      <c r="E89" s="8" t="n"/>
      <c r="F89" s="8" t="n"/>
      <c r="G89" s="14" t="n"/>
      <c r="H89" s="10">
        <f>IF(A89="","",TEXT(A89,"yyyy-mm"))</f>
        <v/>
      </c>
    </row>
    <row r="90">
      <c r="A90" s="16" t="n"/>
      <c r="B90" s="14" t="n"/>
      <c r="C90" s="8" t="n"/>
      <c r="D90" s="8" t="n"/>
      <c r="E90" s="8" t="n"/>
      <c r="F90" s="8" t="n"/>
      <c r="G90" s="14" t="n"/>
      <c r="H90" s="10">
        <f>IF(A90="","",TEXT(A90,"yyyy-mm"))</f>
        <v/>
      </c>
    </row>
    <row r="91">
      <c r="A91" s="16" t="n"/>
      <c r="B91" s="14" t="n"/>
      <c r="C91" s="8" t="n"/>
      <c r="D91" s="8" t="n"/>
      <c r="E91" s="8" t="n"/>
      <c r="F91" s="8" t="n"/>
      <c r="G91" s="14" t="n"/>
      <c r="H91" s="10">
        <f>IF(A91="","",TEXT(A91,"yyyy-mm"))</f>
        <v/>
      </c>
    </row>
    <row r="92">
      <c r="A92" s="16" t="n"/>
      <c r="B92" s="14" t="n"/>
      <c r="C92" s="8" t="n"/>
      <c r="D92" s="8" t="n"/>
      <c r="E92" s="8" t="n"/>
      <c r="F92" s="8" t="n"/>
      <c r="G92" s="14" t="n"/>
      <c r="H92" s="10">
        <f>IF(A92="","",TEXT(A92,"yyyy-mm"))</f>
        <v/>
      </c>
    </row>
    <row r="93">
      <c r="A93" s="16" t="n"/>
      <c r="B93" s="14" t="n"/>
      <c r="C93" s="8" t="n"/>
      <c r="D93" s="8" t="n"/>
      <c r="E93" s="8" t="n"/>
      <c r="F93" s="8" t="n"/>
      <c r="G93" s="14" t="n"/>
      <c r="H93" s="10">
        <f>IF(A93="","",TEXT(A93,"yyyy-mm"))</f>
        <v/>
      </c>
    </row>
    <row r="94">
      <c r="A94" s="16" t="n"/>
      <c r="B94" s="14" t="n"/>
      <c r="C94" s="8" t="n"/>
      <c r="D94" s="8" t="n"/>
      <c r="E94" s="8" t="n"/>
      <c r="F94" s="8" t="n"/>
      <c r="G94" s="14" t="n"/>
      <c r="H94" s="10">
        <f>IF(A94="","",TEXT(A94,"yyyy-mm"))</f>
        <v/>
      </c>
    </row>
    <row r="95">
      <c r="A95" s="16" t="n"/>
      <c r="B95" s="14" t="n"/>
      <c r="C95" s="8" t="n"/>
      <c r="D95" s="8" t="n"/>
      <c r="E95" s="8" t="n"/>
      <c r="F95" s="8" t="n"/>
      <c r="G95" s="14" t="n"/>
      <c r="H95" s="10">
        <f>IF(A95="","",TEXT(A95,"yyyy-mm"))</f>
        <v/>
      </c>
    </row>
    <row r="96">
      <c r="A96" s="16" t="n"/>
      <c r="B96" s="14" t="n"/>
      <c r="C96" s="8" t="n"/>
      <c r="D96" s="8" t="n"/>
      <c r="E96" s="8" t="n"/>
      <c r="F96" s="8" t="n"/>
      <c r="G96" s="14" t="n"/>
      <c r="H96" s="10">
        <f>IF(A96="","",TEXT(A96,"yyyy-mm"))</f>
        <v/>
      </c>
    </row>
    <row r="97">
      <c r="A97" s="16" t="n"/>
      <c r="B97" s="14" t="n"/>
      <c r="C97" s="8" t="n"/>
      <c r="D97" s="8" t="n"/>
      <c r="E97" s="8" t="n"/>
      <c r="F97" s="8" t="n"/>
      <c r="G97" s="14" t="n"/>
      <c r="H97" s="10">
        <f>IF(A97="","",TEXT(A97,"yyyy-mm"))</f>
        <v/>
      </c>
    </row>
    <row r="98">
      <c r="A98" s="16" t="n"/>
      <c r="B98" s="14" t="n"/>
      <c r="C98" s="8" t="n"/>
      <c r="D98" s="8" t="n"/>
      <c r="E98" s="8" t="n"/>
      <c r="F98" s="8" t="n"/>
      <c r="G98" s="14" t="n"/>
      <c r="H98" s="10">
        <f>IF(A98="","",TEXT(A98,"yyyy-mm"))</f>
        <v/>
      </c>
    </row>
    <row r="99">
      <c r="A99" s="16" t="n"/>
      <c r="B99" s="14" t="n"/>
      <c r="C99" s="8" t="n"/>
      <c r="D99" s="8" t="n"/>
      <c r="E99" s="8" t="n"/>
      <c r="F99" s="8" t="n"/>
      <c r="G99" s="14" t="n"/>
      <c r="H99" s="10">
        <f>IF(A99="","",TEXT(A99,"yyyy-mm"))</f>
        <v/>
      </c>
    </row>
    <row r="100">
      <c r="A100" s="16" t="n"/>
      <c r="B100" s="14" t="n"/>
      <c r="C100" s="8" t="n"/>
      <c r="D100" s="8" t="n"/>
      <c r="E100" s="8" t="n"/>
      <c r="F100" s="8" t="n"/>
      <c r="G100" s="14" t="n"/>
      <c r="H100" s="10">
        <f>IF(A100="","",TEXT(A100,"yyyy-mm"))</f>
        <v/>
      </c>
    </row>
    <row r="101">
      <c r="A101" s="16" t="n"/>
      <c r="B101" s="14" t="n"/>
      <c r="C101" s="8" t="n"/>
      <c r="D101" s="8" t="n"/>
      <c r="E101" s="8" t="n"/>
      <c r="F101" s="8" t="n"/>
      <c r="G101" s="14" t="n"/>
      <c r="H101" s="10">
        <f>IF(A101="","",TEXT(A101,"yyyy-mm"))</f>
        <v/>
      </c>
    </row>
    <row r="102">
      <c r="A102" s="16" t="n"/>
      <c r="B102" s="14" t="n"/>
      <c r="C102" s="8" t="n"/>
      <c r="D102" s="8" t="n"/>
      <c r="E102" s="8" t="n"/>
      <c r="F102" s="8" t="n"/>
      <c r="G102" s="14" t="n"/>
      <c r="H102" s="10">
        <f>IF(A102="","",TEXT(A102,"yyyy-mm"))</f>
        <v/>
      </c>
    </row>
    <row r="103">
      <c r="A103" s="16" t="n"/>
      <c r="B103" s="14" t="n"/>
      <c r="C103" s="8" t="n"/>
      <c r="D103" s="8" t="n"/>
      <c r="E103" s="8" t="n"/>
      <c r="F103" s="8" t="n"/>
      <c r="G103" s="14" t="n"/>
      <c r="H103" s="10">
        <f>IF(A103="","",TEXT(A103,"yyyy-mm"))</f>
        <v/>
      </c>
    </row>
    <row r="104">
      <c r="A104" s="16" t="n"/>
      <c r="B104" s="14" t="n"/>
      <c r="C104" s="8" t="n"/>
      <c r="D104" s="8" t="n"/>
      <c r="E104" s="8" t="n"/>
      <c r="F104" s="8" t="n"/>
      <c r="G104" s="14" t="n"/>
      <c r="H104" s="10">
        <f>IF(A104="","",TEXT(A104,"yyyy-mm"))</f>
        <v/>
      </c>
    </row>
    <row r="105">
      <c r="A105" s="16" t="n"/>
      <c r="B105" s="14" t="n"/>
      <c r="C105" s="8" t="n"/>
      <c r="D105" s="8" t="n"/>
      <c r="E105" s="8" t="n"/>
      <c r="F105" s="8" t="n"/>
      <c r="G105" s="14" t="n"/>
      <c r="H105" s="10">
        <f>IF(A105="","",TEXT(A105,"yyyy-mm"))</f>
        <v/>
      </c>
    </row>
    <row r="106">
      <c r="A106" s="16" t="n"/>
      <c r="B106" s="14" t="n"/>
      <c r="C106" s="8" t="n"/>
      <c r="D106" s="8" t="n"/>
      <c r="E106" s="8" t="n"/>
      <c r="F106" s="8" t="n"/>
      <c r="G106" s="14" t="n"/>
      <c r="H106" s="10">
        <f>IF(A106="","",TEXT(A106,"yyyy-mm"))</f>
        <v/>
      </c>
    </row>
    <row r="107">
      <c r="A107" s="16" t="n"/>
      <c r="B107" s="14" t="n"/>
      <c r="C107" s="8" t="n"/>
      <c r="D107" s="8" t="n"/>
      <c r="E107" s="8" t="n"/>
      <c r="F107" s="8" t="n"/>
      <c r="G107" s="14" t="n"/>
      <c r="H107" s="10">
        <f>IF(A107="","",TEXT(A107,"yyyy-mm"))</f>
        <v/>
      </c>
    </row>
    <row r="108">
      <c r="A108" s="16" t="n"/>
      <c r="B108" s="14" t="n"/>
      <c r="C108" s="8" t="n"/>
      <c r="D108" s="8" t="n"/>
      <c r="E108" s="8" t="n"/>
      <c r="F108" s="8" t="n"/>
      <c r="G108" s="14" t="n"/>
      <c r="H108" s="10">
        <f>IF(A108="","",TEXT(A108,"yyyy-mm"))</f>
        <v/>
      </c>
    </row>
    <row r="109">
      <c r="A109" s="16" t="n"/>
      <c r="B109" s="14" t="n"/>
      <c r="C109" s="8" t="n"/>
      <c r="D109" s="8" t="n"/>
      <c r="E109" s="8" t="n"/>
      <c r="F109" s="8" t="n"/>
      <c r="G109" s="14" t="n"/>
      <c r="H109" s="10">
        <f>IF(A109="","",TEXT(A109,"yyyy-mm"))</f>
        <v/>
      </c>
    </row>
    <row r="110">
      <c r="A110" s="16" t="n"/>
      <c r="B110" s="14" t="n"/>
      <c r="C110" s="8" t="n"/>
      <c r="D110" s="8" t="n"/>
      <c r="E110" s="8" t="n"/>
      <c r="F110" s="8" t="n"/>
      <c r="G110" s="14" t="n"/>
      <c r="H110" s="10">
        <f>IF(A110="","",TEXT(A110,"yyyy-mm"))</f>
        <v/>
      </c>
    </row>
    <row r="111">
      <c r="A111" s="16" t="n"/>
      <c r="B111" s="14" t="n"/>
      <c r="C111" s="8" t="n"/>
      <c r="D111" s="8" t="n"/>
      <c r="E111" s="8" t="n"/>
      <c r="F111" s="8" t="n"/>
      <c r="G111" s="14" t="n"/>
      <c r="H111" s="10">
        <f>IF(A111="","",TEXT(A111,"yyyy-mm"))</f>
        <v/>
      </c>
    </row>
    <row r="112">
      <c r="A112" s="16" t="n"/>
      <c r="B112" s="14" t="n"/>
      <c r="C112" s="8" t="n"/>
      <c r="D112" s="8" t="n"/>
      <c r="E112" s="8" t="n"/>
      <c r="F112" s="8" t="n"/>
      <c r="G112" s="14" t="n"/>
      <c r="H112" s="10">
        <f>IF(A112="","",TEXT(A112,"yyyy-mm"))</f>
        <v/>
      </c>
    </row>
    <row r="113">
      <c r="A113" s="16" t="n"/>
      <c r="B113" s="14" t="n"/>
      <c r="C113" s="8" t="n"/>
      <c r="D113" s="8" t="n"/>
      <c r="E113" s="8" t="n"/>
      <c r="F113" s="8" t="n"/>
      <c r="G113" s="14" t="n"/>
      <c r="H113" s="10">
        <f>IF(A113="","",TEXT(A113,"yyyy-mm"))</f>
        <v/>
      </c>
    </row>
    <row r="114">
      <c r="A114" s="16" t="n"/>
      <c r="B114" s="14" t="n"/>
      <c r="C114" s="8" t="n"/>
      <c r="D114" s="8" t="n"/>
      <c r="E114" s="8" t="n"/>
      <c r="F114" s="8" t="n"/>
      <c r="G114" s="14" t="n"/>
      <c r="H114" s="10">
        <f>IF(A114="","",TEXT(A114,"yyyy-mm"))</f>
        <v/>
      </c>
    </row>
    <row r="115">
      <c r="A115" s="16" t="n"/>
      <c r="B115" s="14" t="n"/>
      <c r="C115" s="8" t="n"/>
      <c r="D115" s="8" t="n"/>
      <c r="E115" s="8" t="n"/>
      <c r="F115" s="8" t="n"/>
      <c r="G115" s="14" t="n"/>
      <c r="H115" s="10">
        <f>IF(A115="","",TEXT(A115,"yyyy-mm"))</f>
        <v/>
      </c>
    </row>
    <row r="116">
      <c r="A116" s="16" t="n"/>
      <c r="B116" s="14" t="n"/>
      <c r="C116" s="8" t="n"/>
      <c r="D116" s="8" t="n"/>
      <c r="E116" s="8" t="n"/>
      <c r="F116" s="8" t="n"/>
      <c r="G116" s="14" t="n"/>
      <c r="H116" s="10">
        <f>IF(A116="","",TEXT(A116,"yyyy-mm"))</f>
        <v/>
      </c>
    </row>
    <row r="117">
      <c r="A117" s="16" t="n"/>
      <c r="B117" s="14" t="n"/>
      <c r="C117" s="8" t="n"/>
      <c r="D117" s="8" t="n"/>
      <c r="E117" s="8" t="n"/>
      <c r="F117" s="8" t="n"/>
      <c r="G117" s="14" t="n"/>
      <c r="H117" s="10">
        <f>IF(A117="","",TEXT(A117,"yyyy-mm"))</f>
        <v/>
      </c>
    </row>
    <row r="118">
      <c r="A118" s="16" t="n"/>
      <c r="B118" s="14" t="n"/>
      <c r="C118" s="8" t="n"/>
      <c r="D118" s="8" t="n"/>
      <c r="E118" s="8" t="n"/>
      <c r="F118" s="8" t="n"/>
      <c r="G118" s="14" t="n"/>
      <c r="H118" s="10">
        <f>IF(A118="","",TEXT(A118,"yyyy-mm"))</f>
        <v/>
      </c>
    </row>
    <row r="119">
      <c r="A119" s="16" t="n"/>
      <c r="B119" s="14" t="n"/>
      <c r="C119" s="8" t="n"/>
      <c r="D119" s="8" t="n"/>
      <c r="E119" s="8" t="n"/>
      <c r="F119" s="8" t="n"/>
      <c r="G119" s="14" t="n"/>
      <c r="H119" s="10">
        <f>IF(A119="","",TEXT(A119,"yyyy-mm"))</f>
        <v/>
      </c>
    </row>
    <row r="120">
      <c r="A120" s="16" t="n"/>
      <c r="B120" s="14" t="n"/>
      <c r="C120" s="8" t="n"/>
      <c r="D120" s="8" t="n"/>
      <c r="E120" s="8" t="n"/>
      <c r="F120" s="8" t="n"/>
      <c r="G120" s="14" t="n"/>
      <c r="H120" s="10">
        <f>IF(A120="","",TEXT(A120,"yyyy-mm"))</f>
        <v/>
      </c>
    </row>
    <row r="121">
      <c r="A121" s="16" t="n"/>
      <c r="B121" s="14" t="n"/>
      <c r="C121" s="8" t="n"/>
      <c r="D121" s="8" t="n"/>
      <c r="E121" s="8" t="n"/>
      <c r="F121" s="8" t="n"/>
      <c r="G121" s="14" t="n"/>
      <c r="H121" s="10">
        <f>IF(A121="","",TEXT(A121,"yyyy-mm"))</f>
        <v/>
      </c>
    </row>
    <row r="122">
      <c r="A122" s="16" t="n"/>
      <c r="B122" s="14" t="n"/>
      <c r="C122" s="8" t="n"/>
      <c r="D122" s="8" t="n"/>
      <c r="E122" s="8" t="n"/>
      <c r="F122" s="8" t="n"/>
      <c r="G122" s="14" t="n"/>
      <c r="H122" s="10">
        <f>IF(A122="","",TEXT(A122,"yyyy-mm"))</f>
        <v/>
      </c>
    </row>
    <row r="123">
      <c r="A123" s="16" t="n"/>
      <c r="B123" s="14" t="n"/>
      <c r="C123" s="8" t="n"/>
      <c r="D123" s="8" t="n"/>
      <c r="E123" s="8" t="n"/>
      <c r="F123" s="8" t="n"/>
      <c r="G123" s="14" t="n"/>
      <c r="H123" s="10">
        <f>IF(A123="","",TEXT(A123,"yyyy-mm"))</f>
        <v/>
      </c>
    </row>
    <row r="124">
      <c r="A124" s="16" t="n"/>
      <c r="B124" s="14" t="n"/>
      <c r="C124" s="8" t="n"/>
      <c r="D124" s="8" t="n"/>
      <c r="E124" s="8" t="n"/>
      <c r="F124" s="8" t="n"/>
      <c r="G124" s="14" t="n"/>
      <c r="H124" s="10">
        <f>IF(A124="","",TEXT(A124,"yyyy-mm"))</f>
        <v/>
      </c>
    </row>
    <row r="125">
      <c r="A125" s="16" t="n"/>
      <c r="B125" s="14" t="n"/>
      <c r="C125" s="8" t="n"/>
      <c r="D125" s="8" t="n"/>
      <c r="E125" s="8" t="n"/>
      <c r="F125" s="8" t="n"/>
      <c r="G125" s="14" t="n"/>
      <c r="H125" s="10">
        <f>IF(A125="","",TEXT(A125,"yyyy-mm"))</f>
        <v/>
      </c>
    </row>
    <row r="126">
      <c r="A126" s="16" t="n"/>
      <c r="B126" s="14" t="n"/>
      <c r="C126" s="8" t="n"/>
      <c r="D126" s="8" t="n"/>
      <c r="E126" s="8" t="n"/>
      <c r="F126" s="8" t="n"/>
      <c r="G126" s="14" t="n"/>
      <c r="H126" s="10">
        <f>IF(A126="","",TEXT(A126,"yyyy-mm"))</f>
        <v/>
      </c>
    </row>
    <row r="127">
      <c r="A127" s="16" t="n"/>
      <c r="B127" s="14" t="n"/>
      <c r="C127" s="8" t="n"/>
      <c r="D127" s="8" t="n"/>
      <c r="E127" s="8" t="n"/>
      <c r="F127" s="8" t="n"/>
      <c r="G127" s="14" t="n"/>
      <c r="H127" s="10">
        <f>IF(A127="","",TEXT(A127,"yyyy-mm"))</f>
        <v/>
      </c>
    </row>
    <row r="128">
      <c r="A128" s="16" t="n"/>
      <c r="B128" s="14" t="n"/>
      <c r="C128" s="8" t="n"/>
      <c r="D128" s="8" t="n"/>
      <c r="E128" s="8" t="n"/>
      <c r="F128" s="8" t="n"/>
      <c r="G128" s="14" t="n"/>
      <c r="H128" s="10">
        <f>IF(A128="","",TEXT(A128,"yyyy-mm"))</f>
        <v/>
      </c>
    </row>
    <row r="129">
      <c r="A129" s="16" t="n"/>
      <c r="B129" s="14" t="n"/>
      <c r="C129" s="8" t="n"/>
      <c r="D129" s="8" t="n"/>
      <c r="E129" s="8" t="n"/>
      <c r="F129" s="8" t="n"/>
      <c r="G129" s="14" t="n"/>
      <c r="H129" s="10">
        <f>IF(A129="","",TEXT(A129,"yyyy-mm"))</f>
        <v/>
      </c>
    </row>
    <row r="130">
      <c r="A130" s="16" t="n"/>
      <c r="B130" s="14" t="n"/>
      <c r="C130" s="8" t="n"/>
      <c r="D130" s="8" t="n"/>
      <c r="E130" s="8" t="n"/>
      <c r="F130" s="8" t="n"/>
      <c r="G130" s="14" t="n"/>
      <c r="H130" s="10">
        <f>IF(A130="","",TEXT(A130,"yyyy-mm"))</f>
        <v/>
      </c>
    </row>
    <row r="131">
      <c r="A131" s="16" t="n"/>
      <c r="B131" s="14" t="n"/>
      <c r="C131" s="8" t="n"/>
      <c r="D131" s="8" t="n"/>
      <c r="E131" s="8" t="n"/>
      <c r="F131" s="8" t="n"/>
      <c r="G131" s="14" t="n"/>
      <c r="H131" s="10">
        <f>IF(A131="","",TEXT(A131,"yyyy-mm"))</f>
        <v/>
      </c>
    </row>
    <row r="132">
      <c r="A132" s="16" t="n"/>
      <c r="B132" s="14" t="n"/>
      <c r="C132" s="8" t="n"/>
      <c r="D132" s="8" t="n"/>
      <c r="E132" s="8" t="n"/>
      <c r="F132" s="8" t="n"/>
      <c r="G132" s="14" t="n"/>
      <c r="H132" s="10">
        <f>IF(A132="","",TEXT(A132,"yyyy-mm"))</f>
        <v/>
      </c>
    </row>
    <row r="133">
      <c r="A133" s="16" t="n"/>
      <c r="B133" s="14" t="n"/>
      <c r="C133" s="8" t="n"/>
      <c r="D133" s="8" t="n"/>
      <c r="E133" s="8" t="n"/>
      <c r="F133" s="8" t="n"/>
      <c r="G133" s="14" t="n"/>
      <c r="H133" s="10">
        <f>IF(A133="","",TEXT(A133,"yyyy-mm"))</f>
        <v/>
      </c>
    </row>
    <row r="134">
      <c r="A134" s="16" t="n"/>
      <c r="B134" s="14" t="n"/>
      <c r="C134" s="8" t="n"/>
      <c r="D134" s="8" t="n"/>
      <c r="E134" s="8" t="n"/>
      <c r="F134" s="8" t="n"/>
      <c r="G134" s="14" t="n"/>
      <c r="H134" s="10">
        <f>IF(A134="","",TEXT(A134,"yyyy-mm"))</f>
        <v/>
      </c>
    </row>
    <row r="135">
      <c r="A135" s="16" t="n"/>
      <c r="B135" s="14" t="n"/>
      <c r="C135" s="8" t="n"/>
      <c r="D135" s="8" t="n"/>
      <c r="E135" s="8" t="n"/>
      <c r="F135" s="8" t="n"/>
      <c r="G135" s="14" t="n"/>
      <c r="H135" s="10">
        <f>IF(A135="","",TEXT(A135,"yyyy-mm"))</f>
        <v/>
      </c>
    </row>
    <row r="136">
      <c r="A136" s="16" t="n"/>
      <c r="B136" s="14" t="n"/>
      <c r="C136" s="8" t="n"/>
      <c r="D136" s="8" t="n"/>
      <c r="E136" s="8" t="n"/>
      <c r="F136" s="8" t="n"/>
      <c r="G136" s="14" t="n"/>
      <c r="H136" s="10">
        <f>IF(A136="","",TEXT(A136,"yyyy-mm"))</f>
        <v/>
      </c>
    </row>
    <row r="137">
      <c r="A137" s="16" t="n"/>
      <c r="B137" s="14" t="n"/>
      <c r="C137" s="8" t="n"/>
      <c r="D137" s="8" t="n"/>
      <c r="E137" s="8" t="n"/>
      <c r="F137" s="8" t="n"/>
      <c r="G137" s="14" t="n"/>
      <c r="H137" s="10">
        <f>IF(A137="","",TEXT(A137,"yyyy-mm"))</f>
        <v/>
      </c>
    </row>
    <row r="138">
      <c r="A138" s="16" t="n"/>
      <c r="B138" s="14" t="n"/>
      <c r="C138" s="8" t="n"/>
      <c r="D138" s="8" t="n"/>
      <c r="E138" s="8" t="n"/>
      <c r="F138" s="8" t="n"/>
      <c r="G138" s="14" t="n"/>
      <c r="H138" s="10">
        <f>IF(A138="","",TEXT(A138,"yyyy-mm"))</f>
        <v/>
      </c>
    </row>
    <row r="139">
      <c r="A139" s="16" t="n"/>
      <c r="B139" s="14" t="n"/>
      <c r="C139" s="8" t="n"/>
      <c r="D139" s="8" t="n"/>
      <c r="E139" s="8" t="n"/>
      <c r="F139" s="8" t="n"/>
      <c r="G139" s="14" t="n"/>
      <c r="H139" s="10">
        <f>IF(A139="","",TEXT(A139,"yyyy-mm"))</f>
        <v/>
      </c>
    </row>
    <row r="140">
      <c r="A140" s="16" t="n"/>
      <c r="B140" s="14" t="n"/>
      <c r="C140" s="8" t="n"/>
      <c r="D140" s="8" t="n"/>
      <c r="E140" s="8" t="n"/>
      <c r="F140" s="8" t="n"/>
      <c r="G140" s="14" t="n"/>
      <c r="H140" s="10">
        <f>IF(A140="","",TEXT(A140,"yyyy-mm"))</f>
        <v/>
      </c>
    </row>
    <row r="141">
      <c r="A141" s="16" t="n"/>
      <c r="B141" s="14" t="n"/>
      <c r="C141" s="8" t="n"/>
      <c r="D141" s="8" t="n"/>
      <c r="E141" s="8" t="n"/>
      <c r="F141" s="8" t="n"/>
      <c r="G141" s="14" t="n"/>
      <c r="H141" s="10">
        <f>IF(A141="","",TEXT(A141,"yyyy-mm"))</f>
        <v/>
      </c>
    </row>
    <row r="142">
      <c r="A142" s="16" t="n"/>
      <c r="B142" s="14" t="n"/>
      <c r="C142" s="8" t="n"/>
      <c r="D142" s="8" t="n"/>
      <c r="E142" s="8" t="n"/>
      <c r="F142" s="8" t="n"/>
      <c r="G142" s="14" t="n"/>
      <c r="H142" s="10">
        <f>IF(A142="","",TEXT(A142,"yyyy-mm"))</f>
        <v/>
      </c>
    </row>
    <row r="143">
      <c r="A143" s="16" t="n"/>
      <c r="B143" s="14" t="n"/>
      <c r="C143" s="8" t="n"/>
      <c r="D143" s="8" t="n"/>
      <c r="E143" s="8" t="n"/>
      <c r="F143" s="8" t="n"/>
      <c r="G143" s="14" t="n"/>
      <c r="H143" s="10">
        <f>IF(A143="","",TEXT(A143,"yyyy-mm"))</f>
        <v/>
      </c>
    </row>
    <row r="144">
      <c r="A144" s="16" t="n"/>
      <c r="B144" s="14" t="n"/>
      <c r="C144" s="8" t="n"/>
      <c r="D144" s="8" t="n"/>
      <c r="E144" s="8" t="n"/>
      <c r="F144" s="8" t="n"/>
      <c r="G144" s="14" t="n"/>
      <c r="H144" s="10">
        <f>IF(A144="","",TEXT(A144,"yyyy-mm"))</f>
        <v/>
      </c>
    </row>
    <row r="145">
      <c r="A145" s="16" t="n"/>
      <c r="B145" s="14" t="n"/>
      <c r="C145" s="8" t="n"/>
      <c r="D145" s="8" t="n"/>
      <c r="E145" s="8" t="n"/>
      <c r="F145" s="8" t="n"/>
      <c r="G145" s="14" t="n"/>
      <c r="H145" s="10">
        <f>IF(A145="","",TEXT(A145,"yyyy-mm"))</f>
        <v/>
      </c>
    </row>
    <row r="146">
      <c r="A146" s="16" t="n"/>
      <c r="B146" s="14" t="n"/>
      <c r="C146" s="8" t="n"/>
      <c r="D146" s="8" t="n"/>
      <c r="E146" s="8" t="n"/>
      <c r="F146" s="8" t="n"/>
      <c r="G146" s="14" t="n"/>
      <c r="H146" s="10">
        <f>IF(A146="","",TEXT(A146,"yyyy-mm"))</f>
        <v/>
      </c>
    </row>
    <row r="147">
      <c r="A147" s="16" t="n"/>
      <c r="B147" s="14" t="n"/>
      <c r="C147" s="8" t="n"/>
      <c r="D147" s="8" t="n"/>
      <c r="E147" s="8" t="n"/>
      <c r="F147" s="8" t="n"/>
      <c r="G147" s="14" t="n"/>
      <c r="H147" s="10">
        <f>IF(A147="","",TEXT(A147,"yyyy-mm"))</f>
        <v/>
      </c>
    </row>
    <row r="148">
      <c r="A148" s="16" t="n"/>
      <c r="B148" s="14" t="n"/>
      <c r="C148" s="8" t="n"/>
      <c r="D148" s="8" t="n"/>
      <c r="E148" s="8" t="n"/>
      <c r="F148" s="8" t="n"/>
      <c r="G148" s="14" t="n"/>
      <c r="H148" s="10">
        <f>IF(A148="","",TEXT(A148,"yyyy-mm"))</f>
        <v/>
      </c>
    </row>
    <row r="149">
      <c r="A149" s="16" t="n"/>
      <c r="B149" s="14" t="n"/>
      <c r="C149" s="8" t="n"/>
      <c r="D149" s="8" t="n"/>
      <c r="E149" s="8" t="n"/>
      <c r="F149" s="8" t="n"/>
      <c r="G149" s="14" t="n"/>
      <c r="H149" s="10">
        <f>IF(A149="","",TEXT(A149,"yyyy-mm"))</f>
        <v/>
      </c>
    </row>
    <row r="150">
      <c r="A150" s="16" t="n"/>
      <c r="B150" s="14" t="n"/>
      <c r="C150" s="8" t="n"/>
      <c r="D150" s="8" t="n"/>
      <c r="E150" s="8" t="n"/>
      <c r="F150" s="8" t="n"/>
      <c r="G150" s="14" t="n"/>
      <c r="H150" s="10">
        <f>IF(A150="","",TEXT(A150,"yyyy-mm"))</f>
        <v/>
      </c>
    </row>
    <row r="151">
      <c r="A151" s="16" t="n"/>
      <c r="B151" s="14" t="n"/>
      <c r="C151" s="8" t="n"/>
      <c r="D151" s="8" t="n"/>
      <c r="E151" s="8" t="n"/>
      <c r="F151" s="8" t="n"/>
      <c r="G151" s="14" t="n"/>
      <c r="H151" s="10">
        <f>IF(A151="","",TEXT(A151,"yyyy-mm"))</f>
        <v/>
      </c>
    </row>
    <row r="152">
      <c r="A152" s="16" t="n"/>
      <c r="B152" s="14" t="n"/>
      <c r="C152" s="8" t="n"/>
      <c r="D152" s="8" t="n"/>
      <c r="E152" s="8" t="n"/>
      <c r="F152" s="8" t="n"/>
      <c r="G152" s="14" t="n"/>
      <c r="H152" s="10">
        <f>IF(A152="","",TEXT(A152,"yyyy-mm"))</f>
        <v/>
      </c>
    </row>
    <row r="153">
      <c r="A153" s="16" t="n"/>
      <c r="B153" s="14" t="n"/>
      <c r="C153" s="8" t="n"/>
      <c r="D153" s="8" t="n"/>
      <c r="E153" s="8" t="n"/>
      <c r="F153" s="8" t="n"/>
      <c r="G153" s="14" t="n"/>
      <c r="H153" s="10">
        <f>IF(A153="","",TEXT(A153,"yyyy-mm"))</f>
        <v/>
      </c>
    </row>
    <row r="154">
      <c r="A154" s="16" t="n"/>
      <c r="B154" s="14" t="n"/>
      <c r="C154" s="8" t="n"/>
      <c r="D154" s="8" t="n"/>
      <c r="E154" s="8" t="n"/>
      <c r="F154" s="8" t="n"/>
      <c r="G154" s="14" t="n"/>
      <c r="H154" s="10">
        <f>IF(A154="","",TEXT(A154,"yyyy-mm"))</f>
        <v/>
      </c>
    </row>
    <row r="155">
      <c r="A155" s="16" t="n"/>
      <c r="B155" s="14" t="n"/>
      <c r="C155" s="8" t="n"/>
      <c r="D155" s="8" t="n"/>
      <c r="E155" s="8" t="n"/>
      <c r="F155" s="8" t="n"/>
      <c r="G155" s="14" t="n"/>
      <c r="H155" s="10">
        <f>IF(A155="","",TEXT(A155,"yyyy-mm"))</f>
        <v/>
      </c>
    </row>
    <row r="156">
      <c r="A156" s="16" t="n"/>
      <c r="B156" s="14" t="n"/>
      <c r="C156" s="8" t="n"/>
      <c r="D156" s="8" t="n"/>
      <c r="E156" s="8" t="n"/>
      <c r="F156" s="8" t="n"/>
      <c r="G156" s="14" t="n"/>
      <c r="H156" s="10">
        <f>IF(A156="","",TEXT(A156,"yyyy-mm"))</f>
        <v/>
      </c>
    </row>
    <row r="157">
      <c r="A157" s="16" t="n"/>
      <c r="B157" s="14" t="n"/>
      <c r="C157" s="8" t="n"/>
      <c r="D157" s="8" t="n"/>
      <c r="E157" s="8" t="n"/>
      <c r="F157" s="8" t="n"/>
      <c r="G157" s="14" t="n"/>
      <c r="H157" s="10">
        <f>IF(A157="","",TEXT(A157,"yyyy-mm"))</f>
        <v/>
      </c>
    </row>
    <row r="158">
      <c r="A158" s="16" t="n"/>
      <c r="B158" s="14" t="n"/>
      <c r="C158" s="8" t="n"/>
      <c r="D158" s="8" t="n"/>
      <c r="E158" s="8" t="n"/>
      <c r="F158" s="8" t="n"/>
      <c r="G158" s="14" t="n"/>
      <c r="H158" s="10">
        <f>IF(A158="","",TEXT(A158,"yyyy-mm"))</f>
        <v/>
      </c>
    </row>
    <row r="159">
      <c r="A159" s="16" t="n"/>
      <c r="B159" s="14" t="n"/>
      <c r="C159" s="8" t="n"/>
      <c r="D159" s="8" t="n"/>
      <c r="E159" s="8" t="n"/>
      <c r="F159" s="8" t="n"/>
      <c r="G159" s="14" t="n"/>
      <c r="H159" s="10">
        <f>IF(A159="","",TEXT(A159,"yyyy-mm"))</f>
        <v/>
      </c>
    </row>
    <row r="160">
      <c r="A160" s="16" t="n"/>
      <c r="B160" s="14" t="n"/>
      <c r="C160" s="8" t="n"/>
      <c r="D160" s="8" t="n"/>
      <c r="E160" s="8" t="n"/>
      <c r="F160" s="8" t="n"/>
      <c r="G160" s="14" t="n"/>
      <c r="H160" s="10">
        <f>IF(A160="","",TEXT(A160,"yyyy-mm"))</f>
        <v/>
      </c>
    </row>
    <row r="161">
      <c r="A161" s="16" t="n"/>
      <c r="B161" s="14" t="n"/>
      <c r="C161" s="8" t="n"/>
      <c r="D161" s="8" t="n"/>
      <c r="E161" s="8" t="n"/>
      <c r="F161" s="8" t="n"/>
      <c r="G161" s="14" t="n"/>
      <c r="H161" s="10">
        <f>IF(A161="","",TEXT(A161,"yyyy-mm"))</f>
        <v/>
      </c>
    </row>
    <row r="162">
      <c r="A162" s="16" t="n"/>
      <c r="B162" s="14" t="n"/>
      <c r="C162" s="8" t="n"/>
      <c r="D162" s="8" t="n"/>
      <c r="E162" s="8" t="n"/>
      <c r="F162" s="8" t="n"/>
      <c r="G162" s="14" t="n"/>
      <c r="H162" s="10">
        <f>IF(A162="","",TEXT(A162,"yyyy-mm"))</f>
        <v/>
      </c>
    </row>
    <row r="163">
      <c r="A163" s="16" t="n"/>
      <c r="B163" s="14" t="n"/>
      <c r="C163" s="8" t="n"/>
      <c r="D163" s="8" t="n"/>
      <c r="E163" s="8" t="n"/>
      <c r="F163" s="8" t="n"/>
      <c r="G163" s="14" t="n"/>
      <c r="H163" s="10">
        <f>IF(A163="","",TEXT(A163,"yyyy-mm"))</f>
        <v/>
      </c>
    </row>
    <row r="164">
      <c r="A164" s="16" t="n"/>
      <c r="B164" s="14" t="n"/>
      <c r="C164" s="8" t="n"/>
      <c r="D164" s="8" t="n"/>
      <c r="E164" s="8" t="n"/>
      <c r="F164" s="8" t="n"/>
      <c r="G164" s="14" t="n"/>
      <c r="H164" s="10">
        <f>IF(A164="","",TEXT(A164,"yyyy-mm"))</f>
        <v/>
      </c>
    </row>
    <row r="165">
      <c r="A165" s="16" t="n"/>
      <c r="B165" s="14" t="n"/>
      <c r="C165" s="8" t="n"/>
      <c r="D165" s="8" t="n"/>
      <c r="E165" s="8" t="n"/>
      <c r="F165" s="8" t="n"/>
      <c r="G165" s="14" t="n"/>
      <c r="H165" s="10">
        <f>IF(A165="","",TEXT(A165,"yyyy-mm"))</f>
        <v/>
      </c>
    </row>
    <row r="166">
      <c r="A166" s="16" t="n"/>
      <c r="B166" s="14" t="n"/>
      <c r="C166" s="8" t="n"/>
      <c r="D166" s="8" t="n"/>
      <c r="E166" s="8" t="n"/>
      <c r="F166" s="8" t="n"/>
      <c r="G166" s="14" t="n"/>
      <c r="H166" s="10">
        <f>IF(A166="","",TEXT(A166,"yyyy-mm"))</f>
        <v/>
      </c>
    </row>
    <row r="167">
      <c r="A167" s="16" t="n"/>
      <c r="B167" s="14" t="n"/>
      <c r="C167" s="8" t="n"/>
      <c r="D167" s="8" t="n"/>
      <c r="E167" s="8" t="n"/>
      <c r="F167" s="8" t="n"/>
      <c r="G167" s="14" t="n"/>
      <c r="H167" s="10">
        <f>IF(A167="","",TEXT(A167,"yyyy-mm"))</f>
        <v/>
      </c>
    </row>
    <row r="168">
      <c r="A168" s="16" t="n"/>
      <c r="B168" s="14" t="n"/>
      <c r="C168" s="8" t="n"/>
      <c r="D168" s="8" t="n"/>
      <c r="E168" s="8" t="n"/>
      <c r="F168" s="8" t="n"/>
      <c r="G168" s="14" t="n"/>
      <c r="H168" s="10">
        <f>IF(A168="","",TEXT(A168,"yyyy-mm"))</f>
        <v/>
      </c>
    </row>
    <row r="169">
      <c r="A169" s="16" t="n"/>
      <c r="B169" s="14" t="n"/>
      <c r="C169" s="8" t="n"/>
      <c r="D169" s="8" t="n"/>
      <c r="E169" s="8" t="n"/>
      <c r="F169" s="8" t="n"/>
      <c r="G169" s="14" t="n"/>
      <c r="H169" s="10">
        <f>IF(A169="","",TEXT(A169,"yyyy-mm"))</f>
        <v/>
      </c>
    </row>
    <row r="170">
      <c r="A170" s="16" t="n"/>
      <c r="B170" s="14" t="n"/>
      <c r="C170" s="8" t="n"/>
      <c r="D170" s="8" t="n"/>
      <c r="E170" s="8" t="n"/>
      <c r="F170" s="8" t="n"/>
      <c r="G170" s="14" t="n"/>
      <c r="H170" s="10">
        <f>IF(A170="","",TEXT(A170,"yyyy-mm"))</f>
        <v/>
      </c>
    </row>
    <row r="171">
      <c r="A171" s="16" t="n"/>
      <c r="B171" s="14" t="n"/>
      <c r="C171" s="8" t="n"/>
      <c r="D171" s="8" t="n"/>
      <c r="E171" s="8" t="n"/>
      <c r="F171" s="8" t="n"/>
      <c r="G171" s="14" t="n"/>
      <c r="H171" s="10">
        <f>IF(A171="","",TEXT(A171,"yyyy-mm"))</f>
        <v/>
      </c>
    </row>
    <row r="172">
      <c r="A172" s="16" t="n"/>
      <c r="B172" s="14" t="n"/>
      <c r="C172" s="8" t="n"/>
      <c r="D172" s="8" t="n"/>
      <c r="E172" s="8" t="n"/>
      <c r="F172" s="8" t="n"/>
      <c r="G172" s="14" t="n"/>
      <c r="H172" s="10">
        <f>IF(A172="","",TEXT(A172,"yyyy-mm"))</f>
        <v/>
      </c>
    </row>
    <row r="173">
      <c r="A173" s="16" t="n"/>
      <c r="B173" s="14" t="n"/>
      <c r="C173" s="8" t="n"/>
      <c r="D173" s="8" t="n"/>
      <c r="E173" s="8" t="n"/>
      <c r="F173" s="8" t="n"/>
      <c r="G173" s="14" t="n"/>
      <c r="H173" s="10">
        <f>IF(A173="","",TEXT(A173,"yyyy-mm"))</f>
        <v/>
      </c>
    </row>
    <row r="174">
      <c r="A174" s="16" t="n"/>
      <c r="B174" s="14" t="n"/>
      <c r="C174" s="8" t="n"/>
      <c r="D174" s="8" t="n"/>
      <c r="E174" s="8" t="n"/>
      <c r="F174" s="8" t="n"/>
      <c r="G174" s="14" t="n"/>
      <c r="H174" s="10">
        <f>IF(A174="","",TEXT(A174,"yyyy-mm"))</f>
        <v/>
      </c>
    </row>
    <row r="175">
      <c r="A175" s="16" t="n"/>
      <c r="B175" s="14" t="n"/>
      <c r="C175" s="8" t="n"/>
      <c r="D175" s="8" t="n"/>
      <c r="E175" s="8" t="n"/>
      <c r="F175" s="8" t="n"/>
      <c r="G175" s="14" t="n"/>
      <c r="H175" s="10">
        <f>IF(A175="","",TEXT(A175,"yyyy-mm"))</f>
        <v/>
      </c>
    </row>
    <row r="176">
      <c r="A176" s="16" t="n"/>
      <c r="B176" s="14" t="n"/>
      <c r="C176" s="8" t="n"/>
      <c r="D176" s="8" t="n"/>
      <c r="E176" s="8" t="n"/>
      <c r="F176" s="8" t="n"/>
      <c r="G176" s="14" t="n"/>
      <c r="H176" s="10">
        <f>IF(A176="","",TEXT(A176,"yyyy-mm"))</f>
        <v/>
      </c>
    </row>
    <row r="177">
      <c r="A177" s="16" t="n"/>
      <c r="B177" s="14" t="n"/>
      <c r="C177" s="8" t="n"/>
      <c r="D177" s="8" t="n"/>
      <c r="E177" s="8" t="n"/>
      <c r="F177" s="8" t="n"/>
      <c r="G177" s="14" t="n"/>
      <c r="H177" s="10">
        <f>IF(A177="","",TEXT(A177,"yyyy-mm"))</f>
        <v/>
      </c>
    </row>
    <row r="178">
      <c r="A178" s="16" t="n"/>
      <c r="B178" s="14" t="n"/>
      <c r="C178" s="8" t="n"/>
      <c r="D178" s="8" t="n"/>
      <c r="E178" s="8" t="n"/>
      <c r="F178" s="8" t="n"/>
      <c r="G178" s="14" t="n"/>
      <c r="H178" s="10">
        <f>IF(A178="","",TEXT(A178,"yyyy-mm"))</f>
        <v/>
      </c>
    </row>
    <row r="179">
      <c r="A179" s="16" t="n"/>
      <c r="B179" s="14" t="n"/>
      <c r="C179" s="8" t="n"/>
      <c r="D179" s="8" t="n"/>
      <c r="E179" s="8" t="n"/>
      <c r="F179" s="8" t="n"/>
      <c r="G179" s="14" t="n"/>
      <c r="H179" s="10">
        <f>IF(A179="","",TEXT(A179,"yyyy-mm"))</f>
        <v/>
      </c>
    </row>
    <row r="180">
      <c r="A180" s="16" t="n"/>
      <c r="B180" s="14" t="n"/>
      <c r="C180" s="8" t="n"/>
      <c r="D180" s="8" t="n"/>
      <c r="E180" s="8" t="n"/>
      <c r="F180" s="8" t="n"/>
      <c r="G180" s="14" t="n"/>
      <c r="H180" s="10">
        <f>IF(A180="","",TEXT(A180,"yyyy-mm"))</f>
        <v/>
      </c>
    </row>
    <row r="181">
      <c r="A181" s="16" t="n"/>
      <c r="B181" s="14" t="n"/>
      <c r="C181" s="8" t="n"/>
      <c r="D181" s="8" t="n"/>
      <c r="E181" s="8" t="n"/>
      <c r="F181" s="8" t="n"/>
      <c r="G181" s="14" t="n"/>
      <c r="H181" s="10">
        <f>IF(A181="","",TEXT(A181,"yyyy-mm"))</f>
        <v/>
      </c>
    </row>
    <row r="182">
      <c r="A182" s="16" t="n"/>
      <c r="B182" s="14" t="n"/>
      <c r="C182" s="8" t="n"/>
      <c r="D182" s="8" t="n"/>
      <c r="E182" s="8" t="n"/>
      <c r="F182" s="8" t="n"/>
      <c r="G182" s="14" t="n"/>
      <c r="H182" s="10">
        <f>IF(A182="","",TEXT(A182,"yyyy-mm"))</f>
        <v/>
      </c>
    </row>
    <row r="183">
      <c r="A183" s="16" t="n"/>
      <c r="B183" s="14" t="n"/>
      <c r="C183" s="8" t="n"/>
      <c r="D183" s="8" t="n"/>
      <c r="E183" s="8" t="n"/>
      <c r="F183" s="8" t="n"/>
      <c r="G183" s="14" t="n"/>
      <c r="H183" s="10">
        <f>IF(A183="","",TEXT(A183,"yyyy-mm"))</f>
        <v/>
      </c>
    </row>
    <row r="184">
      <c r="A184" s="16" t="n"/>
      <c r="B184" s="14" t="n"/>
      <c r="C184" s="8" t="n"/>
      <c r="D184" s="8" t="n"/>
      <c r="E184" s="8" t="n"/>
      <c r="F184" s="8" t="n"/>
      <c r="G184" s="14" t="n"/>
      <c r="H184" s="10">
        <f>IF(A184="","",TEXT(A184,"yyyy-mm"))</f>
        <v/>
      </c>
    </row>
    <row r="185">
      <c r="A185" s="16" t="n"/>
      <c r="B185" s="14" t="n"/>
      <c r="C185" s="8" t="n"/>
      <c r="D185" s="8" t="n"/>
      <c r="E185" s="8" t="n"/>
      <c r="F185" s="8" t="n"/>
      <c r="G185" s="14" t="n"/>
      <c r="H185" s="10">
        <f>IF(A185="","",TEXT(A185,"yyyy-mm"))</f>
        <v/>
      </c>
    </row>
    <row r="186">
      <c r="A186" s="16" t="n"/>
      <c r="B186" s="14" t="n"/>
      <c r="C186" s="8" t="n"/>
      <c r="D186" s="8" t="n"/>
      <c r="E186" s="8" t="n"/>
      <c r="F186" s="8" t="n"/>
      <c r="G186" s="14" t="n"/>
      <c r="H186" s="10">
        <f>IF(A186="","",TEXT(A186,"yyyy-mm"))</f>
        <v/>
      </c>
    </row>
    <row r="187">
      <c r="A187" s="16" t="n"/>
      <c r="B187" s="14" t="n"/>
      <c r="C187" s="8" t="n"/>
      <c r="D187" s="8" t="n"/>
      <c r="E187" s="8" t="n"/>
      <c r="F187" s="8" t="n"/>
      <c r="G187" s="14" t="n"/>
      <c r="H187" s="10">
        <f>IF(A187="","",TEXT(A187,"yyyy-mm"))</f>
        <v/>
      </c>
    </row>
    <row r="188">
      <c r="A188" s="16" t="n"/>
      <c r="B188" s="14" t="n"/>
      <c r="C188" s="8" t="n"/>
      <c r="D188" s="8" t="n"/>
      <c r="E188" s="8" t="n"/>
      <c r="F188" s="8" t="n"/>
      <c r="G188" s="14" t="n"/>
      <c r="H188" s="10">
        <f>IF(A188="","",TEXT(A188,"yyyy-mm"))</f>
        <v/>
      </c>
    </row>
    <row r="189">
      <c r="A189" s="16" t="n"/>
      <c r="B189" s="14" t="n"/>
      <c r="C189" s="8" t="n"/>
      <c r="D189" s="8" t="n"/>
      <c r="E189" s="8" t="n"/>
      <c r="F189" s="8" t="n"/>
      <c r="G189" s="14" t="n"/>
      <c r="H189" s="10">
        <f>IF(A189="","",TEXT(A189,"yyyy-mm"))</f>
        <v/>
      </c>
    </row>
    <row r="190">
      <c r="A190" s="16" t="n"/>
      <c r="B190" s="14" t="n"/>
      <c r="C190" s="8" t="n"/>
      <c r="D190" s="8" t="n"/>
      <c r="E190" s="8" t="n"/>
      <c r="F190" s="8" t="n"/>
      <c r="G190" s="14" t="n"/>
      <c r="H190" s="10">
        <f>IF(A190="","",TEXT(A190,"yyyy-mm"))</f>
        <v/>
      </c>
    </row>
    <row r="191">
      <c r="A191" s="16" t="n"/>
      <c r="B191" s="14" t="n"/>
      <c r="C191" s="8" t="n"/>
      <c r="D191" s="8" t="n"/>
      <c r="E191" s="8" t="n"/>
      <c r="F191" s="8" t="n"/>
      <c r="G191" s="14" t="n"/>
      <c r="H191" s="10">
        <f>IF(A191="","",TEXT(A191,"yyyy-mm"))</f>
        <v/>
      </c>
    </row>
    <row r="192">
      <c r="A192" s="16" t="n"/>
      <c r="B192" s="14" t="n"/>
      <c r="C192" s="8" t="n"/>
      <c r="D192" s="8" t="n"/>
      <c r="E192" s="8" t="n"/>
      <c r="F192" s="8" t="n"/>
      <c r="G192" s="14" t="n"/>
      <c r="H192" s="10">
        <f>IF(A192="","",TEXT(A192,"yyyy-mm"))</f>
        <v/>
      </c>
    </row>
    <row r="193">
      <c r="A193" s="16" t="n"/>
      <c r="B193" s="14" t="n"/>
      <c r="C193" s="8" t="n"/>
      <c r="D193" s="8" t="n"/>
      <c r="E193" s="8" t="n"/>
      <c r="F193" s="8" t="n"/>
      <c r="G193" s="14" t="n"/>
      <c r="H193" s="10">
        <f>IF(A193="","",TEXT(A193,"yyyy-mm"))</f>
        <v/>
      </c>
    </row>
    <row r="194">
      <c r="A194" s="16" t="n"/>
      <c r="B194" s="14" t="n"/>
      <c r="C194" s="8" t="n"/>
      <c r="D194" s="8" t="n"/>
      <c r="E194" s="8" t="n"/>
      <c r="F194" s="8" t="n"/>
      <c r="G194" s="14" t="n"/>
      <c r="H194" s="10">
        <f>IF(A194="","",TEXT(A194,"yyyy-mm"))</f>
        <v/>
      </c>
    </row>
    <row r="195">
      <c r="A195" s="16" t="n"/>
      <c r="B195" s="14" t="n"/>
      <c r="C195" s="8" t="n"/>
      <c r="D195" s="8" t="n"/>
      <c r="E195" s="8" t="n"/>
      <c r="F195" s="8" t="n"/>
      <c r="G195" s="14" t="n"/>
      <c r="H195" s="10">
        <f>IF(A195="","",TEXT(A195,"yyyy-mm"))</f>
        <v/>
      </c>
    </row>
    <row r="196">
      <c r="A196" s="16" t="n"/>
      <c r="B196" s="14" t="n"/>
      <c r="C196" s="8" t="n"/>
      <c r="D196" s="8" t="n"/>
      <c r="E196" s="8" t="n"/>
      <c r="F196" s="8" t="n"/>
      <c r="G196" s="14" t="n"/>
      <c r="H196" s="10">
        <f>IF(A196="","",TEXT(A196,"yyyy-mm"))</f>
        <v/>
      </c>
    </row>
    <row r="197">
      <c r="A197" s="16" t="n"/>
      <c r="B197" s="14" t="n"/>
      <c r="C197" s="8" t="n"/>
      <c r="D197" s="8" t="n"/>
      <c r="E197" s="8" t="n"/>
      <c r="F197" s="8" t="n"/>
      <c r="G197" s="14" t="n"/>
      <c r="H197" s="10">
        <f>IF(A197="","",TEXT(A197,"yyyy-mm"))</f>
        <v/>
      </c>
    </row>
    <row r="198">
      <c r="A198" s="16" t="n"/>
      <c r="B198" s="14" t="n"/>
      <c r="C198" s="8" t="n"/>
      <c r="D198" s="8" t="n"/>
      <c r="E198" s="8" t="n"/>
      <c r="F198" s="8" t="n"/>
      <c r="G198" s="14" t="n"/>
      <c r="H198" s="10">
        <f>IF(A198="","",TEXT(A198,"yyyy-mm"))</f>
        <v/>
      </c>
    </row>
    <row r="199">
      <c r="A199" s="16" t="n"/>
      <c r="B199" s="14" t="n"/>
      <c r="C199" s="8" t="n"/>
      <c r="D199" s="8" t="n"/>
      <c r="E199" s="8" t="n"/>
      <c r="F199" s="8" t="n"/>
      <c r="G199" s="14" t="n"/>
      <c r="H199" s="10">
        <f>IF(A199="","",TEXT(A199,"yyyy-mm"))</f>
        <v/>
      </c>
    </row>
    <row r="200">
      <c r="A200" s="16" t="n"/>
      <c r="B200" s="14" t="n"/>
      <c r="C200" s="8" t="n"/>
      <c r="D200" s="8" t="n"/>
      <c r="E200" s="8" t="n"/>
      <c r="F200" s="8" t="n"/>
      <c r="G200" s="14" t="n"/>
      <c r="H200" s="10">
        <f>IF(A200="","",TEXT(A200,"yyyy-mm"))</f>
        <v/>
      </c>
    </row>
    <row r="201">
      <c r="A201" s="16" t="n"/>
      <c r="B201" s="14" t="n"/>
      <c r="C201" s="8" t="n"/>
      <c r="D201" s="8" t="n"/>
      <c r="E201" s="8" t="n"/>
      <c r="F201" s="8" t="n"/>
      <c r="G201" s="14" t="n"/>
      <c r="H201" s="10">
        <f>IF(A201="","",TEXT(A201,"yyyy-mm"))</f>
        <v/>
      </c>
    </row>
    <row r="202">
      <c r="A202" s="16" t="n"/>
      <c r="B202" s="14" t="n"/>
      <c r="C202" s="8" t="n"/>
      <c r="D202" s="8" t="n"/>
      <c r="E202" s="8" t="n"/>
      <c r="F202" s="8" t="n"/>
      <c r="G202" s="14" t="n"/>
      <c r="H202" s="10">
        <f>IF(A202="","",TEXT(A202,"yyyy-mm"))</f>
        <v/>
      </c>
    </row>
    <row r="203">
      <c r="A203" s="16" t="n"/>
      <c r="B203" s="14" t="n"/>
      <c r="C203" s="8" t="n"/>
      <c r="D203" s="8" t="n"/>
      <c r="E203" s="8" t="n"/>
      <c r="F203" s="8" t="n"/>
      <c r="G203" s="14" t="n"/>
      <c r="H203" s="10">
        <f>IF(A203="","",TEXT(A203,"yyyy-mm"))</f>
        <v/>
      </c>
    </row>
    <row r="204">
      <c r="A204" s="16" t="n"/>
      <c r="B204" s="14" t="n"/>
      <c r="C204" s="8" t="n"/>
      <c r="D204" s="8" t="n"/>
      <c r="E204" s="8" t="n"/>
      <c r="F204" s="8" t="n"/>
      <c r="G204" s="14" t="n"/>
      <c r="H204" s="10">
        <f>IF(A204="","",TEXT(A204,"yyyy-mm"))</f>
        <v/>
      </c>
    </row>
    <row r="205">
      <c r="A205" s="16" t="n"/>
      <c r="B205" s="14" t="n"/>
      <c r="C205" s="8" t="n"/>
      <c r="D205" s="8" t="n"/>
      <c r="E205" s="8" t="n"/>
      <c r="F205" s="8" t="n"/>
      <c r="G205" s="14" t="n"/>
      <c r="H205" s="10">
        <f>IF(A205="","",TEXT(A205,"yyyy-mm"))</f>
        <v/>
      </c>
    </row>
    <row r="206">
      <c r="A206" s="16" t="n"/>
      <c r="B206" s="14" t="n"/>
      <c r="C206" s="8" t="n"/>
      <c r="D206" s="8" t="n"/>
      <c r="E206" s="8" t="n"/>
      <c r="F206" s="8" t="n"/>
      <c r="G206" s="14" t="n"/>
      <c r="H206" s="10">
        <f>IF(A206="","",TEXT(A206,"yyyy-mm"))</f>
        <v/>
      </c>
    </row>
    <row r="207">
      <c r="A207" s="16" t="n"/>
      <c r="B207" s="14" t="n"/>
      <c r="C207" s="8" t="n"/>
      <c r="D207" s="8" t="n"/>
      <c r="E207" s="8" t="n"/>
      <c r="F207" s="8" t="n"/>
      <c r="G207" s="14" t="n"/>
      <c r="H207" s="10">
        <f>IF(A207="","",TEXT(A207,"yyyy-mm"))</f>
        <v/>
      </c>
    </row>
    <row r="208">
      <c r="A208" s="16" t="n"/>
      <c r="B208" s="14" t="n"/>
      <c r="C208" s="8" t="n"/>
      <c r="D208" s="8" t="n"/>
      <c r="E208" s="8" t="n"/>
      <c r="F208" s="8" t="n"/>
      <c r="G208" s="14" t="n"/>
      <c r="H208" s="10">
        <f>IF(A208="","",TEXT(A208,"yyyy-mm"))</f>
        <v/>
      </c>
    </row>
    <row r="209">
      <c r="A209" s="16" t="n"/>
      <c r="B209" s="14" t="n"/>
      <c r="C209" s="8" t="n"/>
      <c r="D209" s="8" t="n"/>
      <c r="E209" s="8" t="n"/>
      <c r="F209" s="8" t="n"/>
      <c r="G209" s="14" t="n"/>
      <c r="H209" s="10">
        <f>IF(A209="","",TEXT(A209,"yyyy-mm"))</f>
        <v/>
      </c>
    </row>
    <row r="210">
      <c r="A210" s="16" t="n"/>
      <c r="B210" s="14" t="n"/>
      <c r="C210" s="8" t="n"/>
      <c r="D210" s="8" t="n"/>
      <c r="E210" s="8" t="n"/>
      <c r="F210" s="8" t="n"/>
      <c r="G210" s="14" t="n"/>
      <c r="H210" s="10">
        <f>IF(A210="","",TEXT(A210,"yyyy-mm"))</f>
        <v/>
      </c>
    </row>
    <row r="211">
      <c r="A211" s="16" t="n"/>
      <c r="B211" s="14" t="n"/>
      <c r="C211" s="8" t="n"/>
      <c r="D211" s="8" t="n"/>
      <c r="E211" s="8" t="n"/>
      <c r="F211" s="8" t="n"/>
      <c r="G211" s="14" t="n"/>
      <c r="H211" s="10">
        <f>IF(A211="","",TEXT(A211,"yyyy-mm"))</f>
        <v/>
      </c>
    </row>
    <row r="212">
      <c r="A212" s="16" t="n"/>
      <c r="B212" s="14" t="n"/>
      <c r="C212" s="8" t="n"/>
      <c r="D212" s="8" t="n"/>
      <c r="E212" s="8" t="n"/>
      <c r="F212" s="8" t="n"/>
      <c r="G212" s="14" t="n"/>
      <c r="H212" s="10">
        <f>IF(A212="","",TEXT(A212,"yyyy-mm"))</f>
        <v/>
      </c>
    </row>
    <row r="213">
      <c r="A213" s="16" t="n"/>
      <c r="B213" s="14" t="n"/>
      <c r="C213" s="8" t="n"/>
      <c r="D213" s="8" t="n"/>
      <c r="E213" s="8" t="n"/>
      <c r="F213" s="8" t="n"/>
      <c r="G213" s="14" t="n"/>
      <c r="H213" s="10">
        <f>IF(A213="","",TEXT(A213,"yyyy-mm"))</f>
        <v/>
      </c>
    </row>
    <row r="214">
      <c r="A214" s="16" t="n"/>
      <c r="B214" s="14" t="n"/>
      <c r="C214" s="8" t="n"/>
      <c r="D214" s="8" t="n"/>
      <c r="E214" s="8" t="n"/>
      <c r="F214" s="8" t="n"/>
      <c r="G214" s="14" t="n"/>
      <c r="H214" s="10">
        <f>IF(A214="","",TEXT(A214,"yyyy-mm"))</f>
        <v/>
      </c>
    </row>
    <row r="215">
      <c r="A215" s="16" t="n"/>
      <c r="B215" s="14" t="n"/>
      <c r="C215" s="8" t="n"/>
      <c r="D215" s="8" t="n"/>
      <c r="E215" s="8" t="n"/>
      <c r="F215" s="8" t="n"/>
      <c r="G215" s="14" t="n"/>
      <c r="H215" s="10">
        <f>IF(A215="","",TEXT(A215,"yyyy-mm"))</f>
        <v/>
      </c>
    </row>
    <row r="216">
      <c r="A216" s="16" t="n"/>
      <c r="B216" s="14" t="n"/>
      <c r="C216" s="8" t="n"/>
      <c r="D216" s="8" t="n"/>
      <c r="E216" s="8" t="n"/>
      <c r="F216" s="8" t="n"/>
      <c r="G216" s="14" t="n"/>
      <c r="H216" s="10">
        <f>IF(A216="","",TEXT(A216,"yyyy-mm"))</f>
        <v/>
      </c>
    </row>
    <row r="217">
      <c r="A217" s="16" t="n"/>
      <c r="B217" s="14" t="n"/>
      <c r="C217" s="8" t="n"/>
      <c r="D217" s="8" t="n"/>
      <c r="E217" s="8" t="n"/>
      <c r="F217" s="8" t="n"/>
      <c r="G217" s="14" t="n"/>
      <c r="H217" s="10">
        <f>IF(A217="","",TEXT(A217,"yyyy-mm"))</f>
        <v/>
      </c>
    </row>
    <row r="218">
      <c r="A218" s="16" t="n"/>
      <c r="B218" s="14" t="n"/>
      <c r="C218" s="8" t="n"/>
      <c r="D218" s="8" t="n"/>
      <c r="E218" s="8" t="n"/>
      <c r="F218" s="8" t="n"/>
      <c r="G218" s="14" t="n"/>
      <c r="H218" s="10">
        <f>IF(A218="","",TEXT(A218,"yyyy-mm"))</f>
        <v/>
      </c>
    </row>
    <row r="219">
      <c r="A219" s="16" t="n"/>
      <c r="B219" s="14" t="n"/>
      <c r="C219" s="8" t="n"/>
      <c r="D219" s="8" t="n"/>
      <c r="E219" s="8" t="n"/>
      <c r="F219" s="8" t="n"/>
      <c r="G219" s="14" t="n"/>
      <c r="H219" s="10">
        <f>IF(A219="","",TEXT(A219,"yyyy-mm"))</f>
        <v/>
      </c>
    </row>
    <row r="220">
      <c r="A220" s="16" t="n"/>
      <c r="B220" s="14" t="n"/>
      <c r="C220" s="8" t="n"/>
      <c r="D220" s="8" t="n"/>
      <c r="E220" s="8" t="n"/>
      <c r="F220" s="8" t="n"/>
      <c r="G220" s="14" t="n"/>
      <c r="H220" s="10">
        <f>IF(A220="","",TEXT(A220,"yyyy-mm"))</f>
        <v/>
      </c>
    </row>
    <row r="221">
      <c r="A221" s="16" t="n"/>
      <c r="B221" s="14" t="n"/>
      <c r="C221" s="8" t="n"/>
      <c r="D221" s="8" t="n"/>
      <c r="E221" s="8" t="n"/>
      <c r="F221" s="8" t="n"/>
      <c r="G221" s="14" t="n"/>
      <c r="H221" s="10">
        <f>IF(A221="","",TEXT(A221,"yyyy-mm"))</f>
        <v/>
      </c>
    </row>
    <row r="222">
      <c r="A222" s="16" t="n"/>
      <c r="B222" s="14" t="n"/>
      <c r="C222" s="8" t="n"/>
      <c r="D222" s="8" t="n"/>
      <c r="E222" s="8" t="n"/>
      <c r="F222" s="8" t="n"/>
      <c r="G222" s="14" t="n"/>
      <c r="H222" s="10">
        <f>IF(A222="","",TEXT(A222,"yyyy-mm"))</f>
        <v/>
      </c>
    </row>
    <row r="223">
      <c r="A223" s="16" t="n"/>
      <c r="B223" s="14" t="n"/>
      <c r="C223" s="8" t="n"/>
      <c r="D223" s="8" t="n"/>
      <c r="E223" s="8" t="n"/>
      <c r="F223" s="8" t="n"/>
      <c r="G223" s="14" t="n"/>
      <c r="H223" s="10">
        <f>IF(A223="","",TEXT(A223,"yyyy-mm"))</f>
        <v/>
      </c>
    </row>
    <row r="224">
      <c r="A224" s="16" t="n"/>
      <c r="B224" s="14" t="n"/>
      <c r="C224" s="8" t="n"/>
      <c r="D224" s="8" t="n"/>
      <c r="E224" s="8" t="n"/>
      <c r="F224" s="8" t="n"/>
      <c r="G224" s="14" t="n"/>
      <c r="H224" s="10">
        <f>IF(A224="","",TEXT(A224,"yyyy-mm"))</f>
        <v/>
      </c>
    </row>
    <row r="225">
      <c r="A225" s="16" t="n"/>
      <c r="B225" s="14" t="n"/>
      <c r="C225" s="8" t="n"/>
      <c r="D225" s="8" t="n"/>
      <c r="E225" s="8" t="n"/>
      <c r="F225" s="8" t="n"/>
      <c r="G225" s="14" t="n"/>
      <c r="H225" s="10">
        <f>IF(A225="","",TEXT(A225,"yyyy-mm"))</f>
        <v/>
      </c>
    </row>
    <row r="226">
      <c r="A226" s="16" t="n"/>
      <c r="B226" s="14" t="n"/>
      <c r="C226" s="8" t="n"/>
      <c r="D226" s="8" t="n"/>
      <c r="E226" s="8" t="n"/>
      <c r="F226" s="8" t="n"/>
      <c r="G226" s="14" t="n"/>
      <c r="H226" s="10">
        <f>IF(A226="","",TEXT(A226,"yyyy-mm"))</f>
        <v/>
      </c>
    </row>
    <row r="227">
      <c r="A227" s="16" t="n"/>
      <c r="B227" s="14" t="n"/>
      <c r="C227" s="8" t="n"/>
      <c r="D227" s="8" t="n"/>
      <c r="E227" s="8" t="n"/>
      <c r="F227" s="8" t="n"/>
      <c r="G227" s="14" t="n"/>
      <c r="H227" s="10">
        <f>IF(A227="","",TEXT(A227,"yyyy-mm"))</f>
        <v/>
      </c>
    </row>
    <row r="228">
      <c r="A228" s="16" t="n"/>
      <c r="B228" s="14" t="n"/>
      <c r="C228" s="8" t="n"/>
      <c r="D228" s="8" t="n"/>
      <c r="E228" s="8" t="n"/>
      <c r="F228" s="8" t="n"/>
      <c r="G228" s="14" t="n"/>
      <c r="H228" s="10">
        <f>IF(A228="","",TEXT(A228,"yyyy-mm"))</f>
        <v/>
      </c>
    </row>
    <row r="229">
      <c r="A229" s="16" t="n"/>
      <c r="B229" s="14" t="n"/>
      <c r="C229" s="8" t="n"/>
      <c r="D229" s="8" t="n"/>
      <c r="E229" s="8" t="n"/>
      <c r="F229" s="8" t="n"/>
      <c r="G229" s="14" t="n"/>
      <c r="H229" s="10">
        <f>IF(A229="","",TEXT(A229,"yyyy-mm"))</f>
        <v/>
      </c>
    </row>
    <row r="230">
      <c r="A230" s="16" t="n"/>
      <c r="B230" s="14" t="n"/>
      <c r="C230" s="8" t="n"/>
      <c r="D230" s="8" t="n"/>
      <c r="E230" s="8" t="n"/>
      <c r="F230" s="8" t="n"/>
      <c r="G230" s="14" t="n"/>
      <c r="H230" s="10">
        <f>IF(A230="","",TEXT(A230,"yyyy-mm"))</f>
        <v/>
      </c>
    </row>
    <row r="231">
      <c r="A231" s="16" t="n"/>
      <c r="B231" s="14" t="n"/>
      <c r="C231" s="8" t="n"/>
      <c r="D231" s="8" t="n"/>
      <c r="E231" s="8" t="n"/>
      <c r="F231" s="8" t="n"/>
      <c r="G231" s="14" t="n"/>
      <c r="H231" s="10">
        <f>IF(A231="","",TEXT(A231,"yyyy-mm"))</f>
        <v/>
      </c>
    </row>
    <row r="232">
      <c r="A232" s="16" t="n"/>
      <c r="B232" s="14" t="n"/>
      <c r="C232" s="8" t="n"/>
      <c r="D232" s="8" t="n"/>
      <c r="E232" s="8" t="n"/>
      <c r="F232" s="8" t="n"/>
      <c r="G232" s="14" t="n"/>
      <c r="H232" s="10">
        <f>IF(A232="","",TEXT(A232,"yyyy-mm"))</f>
        <v/>
      </c>
    </row>
    <row r="233">
      <c r="A233" s="16" t="n"/>
      <c r="B233" s="14" t="n"/>
      <c r="C233" s="8" t="n"/>
      <c r="D233" s="8" t="n"/>
      <c r="E233" s="8" t="n"/>
      <c r="F233" s="8" t="n"/>
      <c r="G233" s="14" t="n"/>
      <c r="H233" s="10">
        <f>IF(A233="","",TEXT(A233,"yyyy-mm"))</f>
        <v/>
      </c>
    </row>
    <row r="234">
      <c r="A234" s="16" t="n"/>
      <c r="B234" s="14" t="n"/>
      <c r="C234" s="8" t="n"/>
      <c r="D234" s="8" t="n"/>
      <c r="E234" s="8" t="n"/>
      <c r="F234" s="8" t="n"/>
      <c r="G234" s="14" t="n"/>
      <c r="H234" s="10">
        <f>IF(A234="","",TEXT(A234,"yyyy-mm"))</f>
        <v/>
      </c>
    </row>
    <row r="235">
      <c r="A235" s="16" t="n"/>
      <c r="B235" s="14" t="n"/>
      <c r="C235" s="8" t="n"/>
      <c r="D235" s="8" t="n"/>
      <c r="E235" s="8" t="n"/>
      <c r="F235" s="8" t="n"/>
      <c r="G235" s="14" t="n"/>
      <c r="H235" s="10">
        <f>IF(A235="","",TEXT(A235,"yyyy-mm"))</f>
        <v/>
      </c>
    </row>
    <row r="236">
      <c r="A236" s="16" t="n"/>
      <c r="B236" s="14" t="n"/>
      <c r="C236" s="8" t="n"/>
      <c r="D236" s="8" t="n"/>
      <c r="E236" s="8" t="n"/>
      <c r="F236" s="8" t="n"/>
      <c r="G236" s="14" t="n"/>
      <c r="H236" s="10">
        <f>IF(A236="","",TEXT(A236,"yyyy-mm"))</f>
        <v/>
      </c>
    </row>
    <row r="237">
      <c r="A237" s="16" t="n"/>
      <c r="B237" s="14" t="n"/>
      <c r="C237" s="8" t="n"/>
      <c r="D237" s="8" t="n"/>
      <c r="E237" s="8" t="n"/>
      <c r="F237" s="8" t="n"/>
      <c r="G237" s="14" t="n"/>
      <c r="H237" s="10">
        <f>IF(A237="","",TEXT(A237,"yyyy-mm"))</f>
        <v/>
      </c>
    </row>
    <row r="238">
      <c r="A238" s="16" t="n"/>
      <c r="B238" s="14" t="n"/>
      <c r="C238" s="8" t="n"/>
      <c r="D238" s="8" t="n"/>
      <c r="E238" s="8" t="n"/>
      <c r="F238" s="8" t="n"/>
      <c r="G238" s="14" t="n"/>
      <c r="H238" s="10">
        <f>IF(A238="","",TEXT(A238,"yyyy-mm"))</f>
        <v/>
      </c>
    </row>
    <row r="239">
      <c r="A239" s="16" t="n"/>
      <c r="B239" s="14" t="n"/>
      <c r="C239" s="8" t="n"/>
      <c r="D239" s="8" t="n"/>
      <c r="E239" s="8" t="n"/>
      <c r="F239" s="8" t="n"/>
      <c r="G239" s="14" t="n"/>
      <c r="H239" s="10">
        <f>IF(A239="","",TEXT(A239,"yyyy-mm"))</f>
        <v/>
      </c>
    </row>
    <row r="240">
      <c r="A240" s="16" t="n"/>
      <c r="B240" s="14" t="n"/>
      <c r="C240" s="8" t="n"/>
      <c r="D240" s="8" t="n"/>
      <c r="E240" s="8" t="n"/>
      <c r="F240" s="8" t="n"/>
      <c r="G240" s="14" t="n"/>
      <c r="H240" s="10">
        <f>IF(A240="","",TEXT(A240,"yyyy-mm"))</f>
        <v/>
      </c>
    </row>
    <row r="241">
      <c r="A241" s="16" t="n"/>
      <c r="B241" s="14" t="n"/>
      <c r="C241" s="8" t="n"/>
      <c r="D241" s="8" t="n"/>
      <c r="E241" s="8" t="n"/>
      <c r="F241" s="8" t="n"/>
      <c r="G241" s="14" t="n"/>
      <c r="H241" s="10">
        <f>IF(A241="","",TEXT(A241,"yyyy-mm"))</f>
        <v/>
      </c>
    </row>
    <row r="242">
      <c r="A242" s="16" t="n"/>
      <c r="B242" s="14" t="n"/>
      <c r="C242" s="8" t="n"/>
      <c r="D242" s="8" t="n"/>
      <c r="E242" s="8" t="n"/>
      <c r="F242" s="8" t="n"/>
      <c r="G242" s="14" t="n"/>
      <c r="H242" s="10">
        <f>IF(A242="","",TEXT(A242,"yyyy-mm"))</f>
        <v/>
      </c>
    </row>
    <row r="243">
      <c r="A243" s="16" t="n"/>
      <c r="B243" s="14" t="n"/>
      <c r="C243" s="8" t="n"/>
      <c r="D243" s="8" t="n"/>
      <c r="E243" s="8" t="n"/>
      <c r="F243" s="8" t="n"/>
      <c r="G243" s="14" t="n"/>
      <c r="H243" s="10">
        <f>IF(A243="","",TEXT(A243,"yyyy-mm"))</f>
        <v/>
      </c>
    </row>
    <row r="244">
      <c r="A244" s="16" t="n"/>
      <c r="B244" s="14" t="n"/>
      <c r="C244" s="8" t="n"/>
      <c r="D244" s="8" t="n"/>
      <c r="E244" s="8" t="n"/>
      <c r="F244" s="8" t="n"/>
      <c r="G244" s="14" t="n"/>
      <c r="H244" s="10">
        <f>IF(A244="","",TEXT(A244,"yyyy-mm"))</f>
        <v/>
      </c>
    </row>
    <row r="245">
      <c r="A245" s="16" t="n"/>
      <c r="B245" s="14" t="n"/>
      <c r="C245" s="8" t="n"/>
      <c r="D245" s="8" t="n"/>
      <c r="E245" s="8" t="n"/>
      <c r="F245" s="8" t="n"/>
      <c r="G245" s="14" t="n"/>
      <c r="H245" s="10">
        <f>IF(A245="","",TEXT(A245,"yyyy-mm"))</f>
        <v/>
      </c>
    </row>
    <row r="246">
      <c r="A246" s="16" t="n"/>
      <c r="B246" s="14" t="n"/>
      <c r="C246" s="8" t="n"/>
      <c r="D246" s="8" t="n"/>
      <c r="E246" s="8" t="n"/>
      <c r="F246" s="8" t="n"/>
      <c r="G246" s="14" t="n"/>
      <c r="H246" s="10">
        <f>IF(A246="","",TEXT(A246,"yyyy-mm"))</f>
        <v/>
      </c>
    </row>
    <row r="247">
      <c r="A247" s="16" t="n"/>
      <c r="B247" s="14" t="n"/>
      <c r="C247" s="8" t="n"/>
      <c r="D247" s="8" t="n"/>
      <c r="E247" s="8" t="n"/>
      <c r="F247" s="8" t="n"/>
      <c r="G247" s="14" t="n"/>
      <c r="H247" s="10">
        <f>IF(A247="","",TEXT(A247,"yyyy-mm"))</f>
        <v/>
      </c>
    </row>
    <row r="248">
      <c r="A248" s="16" t="n"/>
      <c r="B248" s="14" t="n"/>
      <c r="C248" s="8" t="n"/>
      <c r="D248" s="8" t="n"/>
      <c r="E248" s="8" t="n"/>
      <c r="F248" s="8" t="n"/>
      <c r="G248" s="14" t="n"/>
      <c r="H248" s="10">
        <f>IF(A248="","",TEXT(A248,"yyyy-mm"))</f>
        <v/>
      </c>
    </row>
    <row r="249">
      <c r="A249" s="16" t="n"/>
      <c r="B249" s="14" t="n"/>
      <c r="C249" s="8" t="n"/>
      <c r="D249" s="8" t="n"/>
      <c r="E249" s="8" t="n"/>
      <c r="F249" s="8" t="n"/>
      <c r="G249" s="14" t="n"/>
      <c r="H249" s="10">
        <f>IF(A249="","",TEXT(A249,"yyyy-mm"))</f>
        <v/>
      </c>
    </row>
    <row r="250">
      <c r="A250" s="16" t="n"/>
      <c r="B250" s="14" t="n"/>
      <c r="C250" s="8" t="n"/>
      <c r="D250" s="8" t="n"/>
      <c r="E250" s="8" t="n"/>
      <c r="F250" s="8" t="n"/>
      <c r="G250" s="14" t="n"/>
      <c r="H250" s="10">
        <f>IF(A250="","",TEXT(A250,"yyyy-mm"))</f>
        <v/>
      </c>
    </row>
    <row r="251">
      <c r="A251" s="16" t="n"/>
      <c r="B251" s="14" t="n"/>
      <c r="C251" s="8" t="n"/>
      <c r="D251" s="8" t="n"/>
      <c r="E251" s="8" t="n"/>
      <c r="F251" s="8" t="n"/>
      <c r="G251" s="14" t="n"/>
      <c r="H251" s="10">
        <f>IF(A251="","",TEXT(A251,"yyyy-mm"))</f>
        <v/>
      </c>
    </row>
    <row r="252">
      <c r="A252" s="16" t="n"/>
      <c r="B252" s="14" t="n"/>
      <c r="C252" s="8" t="n"/>
      <c r="D252" s="8" t="n"/>
      <c r="E252" s="8" t="n"/>
      <c r="F252" s="8" t="n"/>
      <c r="G252" s="14" t="n"/>
      <c r="H252" s="10">
        <f>IF(A252="","",TEXT(A252,"yyyy-mm"))</f>
        <v/>
      </c>
    </row>
    <row r="253">
      <c r="A253" s="16" t="n"/>
      <c r="B253" s="14" t="n"/>
      <c r="C253" s="8" t="n"/>
      <c r="D253" s="8" t="n"/>
      <c r="E253" s="8" t="n"/>
      <c r="F253" s="8" t="n"/>
      <c r="G253" s="14" t="n"/>
      <c r="H253" s="10">
        <f>IF(A253="","",TEXT(A253,"yyyy-mm"))</f>
        <v/>
      </c>
    </row>
    <row r="254">
      <c r="A254" s="16" t="n"/>
      <c r="B254" s="14" t="n"/>
      <c r="C254" s="8" t="n"/>
      <c r="D254" s="8" t="n"/>
      <c r="E254" s="8" t="n"/>
      <c r="F254" s="8" t="n"/>
      <c r="G254" s="14" t="n"/>
      <c r="H254" s="10">
        <f>IF(A254="","",TEXT(A254,"yyyy-mm"))</f>
        <v/>
      </c>
    </row>
    <row r="255">
      <c r="A255" s="16" t="n"/>
      <c r="B255" s="14" t="n"/>
      <c r="C255" s="8" t="n"/>
      <c r="D255" s="8" t="n"/>
      <c r="E255" s="8" t="n"/>
      <c r="F255" s="8" t="n"/>
      <c r="G255" s="14" t="n"/>
      <c r="H255" s="10">
        <f>IF(A255="","",TEXT(A255,"yyyy-mm"))</f>
        <v/>
      </c>
    </row>
    <row r="256">
      <c r="A256" s="16" t="n"/>
      <c r="B256" s="14" t="n"/>
      <c r="C256" s="8" t="n"/>
      <c r="D256" s="8" t="n"/>
      <c r="E256" s="8" t="n"/>
      <c r="F256" s="8" t="n"/>
      <c r="G256" s="14" t="n"/>
      <c r="H256" s="10">
        <f>IF(A256="","",TEXT(A256,"yyyy-mm"))</f>
        <v/>
      </c>
    </row>
    <row r="257">
      <c r="A257" s="16" t="n"/>
      <c r="B257" s="14" t="n"/>
      <c r="C257" s="8" t="n"/>
      <c r="D257" s="8" t="n"/>
      <c r="E257" s="8" t="n"/>
      <c r="F257" s="8" t="n"/>
      <c r="G257" s="14" t="n"/>
      <c r="H257" s="10">
        <f>IF(A257="","",TEXT(A257,"yyyy-mm"))</f>
        <v/>
      </c>
    </row>
    <row r="258">
      <c r="A258" s="16" t="n"/>
      <c r="B258" s="14" t="n"/>
      <c r="C258" s="8" t="n"/>
      <c r="D258" s="8" t="n"/>
      <c r="E258" s="8" t="n"/>
      <c r="F258" s="8" t="n"/>
      <c r="G258" s="14" t="n"/>
      <c r="H258" s="10">
        <f>IF(A258="","",TEXT(A258,"yyyy-mm"))</f>
        <v/>
      </c>
    </row>
    <row r="259">
      <c r="A259" s="16" t="n"/>
      <c r="B259" s="14" t="n"/>
      <c r="C259" s="8" t="n"/>
      <c r="D259" s="8" t="n"/>
      <c r="E259" s="8" t="n"/>
      <c r="F259" s="8" t="n"/>
      <c r="G259" s="14" t="n"/>
      <c r="H259" s="10">
        <f>IF(A259="","",TEXT(A259,"yyyy-mm"))</f>
        <v/>
      </c>
    </row>
    <row r="260">
      <c r="A260" s="16" t="n"/>
      <c r="B260" s="14" t="n"/>
      <c r="C260" s="8" t="n"/>
      <c r="D260" s="8" t="n"/>
      <c r="E260" s="8" t="n"/>
      <c r="F260" s="8" t="n"/>
      <c r="G260" s="14" t="n"/>
      <c r="H260" s="10">
        <f>IF(A260="","",TEXT(A260,"yyyy-mm"))</f>
        <v/>
      </c>
    </row>
    <row r="261">
      <c r="A261" s="16" t="n"/>
      <c r="B261" s="14" t="n"/>
      <c r="C261" s="8" t="n"/>
      <c r="D261" s="8" t="n"/>
      <c r="E261" s="8" t="n"/>
      <c r="F261" s="8" t="n"/>
      <c r="G261" s="14" t="n"/>
      <c r="H261" s="10">
        <f>IF(A261="","",TEXT(A261,"yyyy-mm"))</f>
        <v/>
      </c>
    </row>
    <row r="262">
      <c r="A262" s="16" t="n"/>
      <c r="B262" s="14" t="n"/>
      <c r="C262" s="8" t="n"/>
      <c r="D262" s="8" t="n"/>
      <c r="E262" s="8" t="n"/>
      <c r="F262" s="8" t="n"/>
      <c r="G262" s="14" t="n"/>
      <c r="H262" s="10">
        <f>IF(A262="","",TEXT(A262,"yyyy-mm"))</f>
        <v/>
      </c>
    </row>
    <row r="263">
      <c r="A263" s="16" t="n"/>
      <c r="B263" s="14" t="n"/>
      <c r="C263" s="8" t="n"/>
      <c r="D263" s="8" t="n"/>
      <c r="E263" s="8" t="n"/>
      <c r="F263" s="8" t="n"/>
      <c r="G263" s="14" t="n"/>
      <c r="H263" s="10">
        <f>IF(A263="","",TEXT(A263,"yyyy-mm"))</f>
        <v/>
      </c>
    </row>
    <row r="264">
      <c r="A264" s="16" t="n"/>
      <c r="B264" s="14" t="n"/>
      <c r="C264" s="8" t="n"/>
      <c r="D264" s="8" t="n"/>
      <c r="E264" s="8" t="n"/>
      <c r="F264" s="8" t="n"/>
      <c r="G264" s="14" t="n"/>
      <c r="H264" s="10">
        <f>IF(A264="","",TEXT(A264,"yyyy-mm"))</f>
        <v/>
      </c>
    </row>
    <row r="265">
      <c r="A265" s="16" t="n"/>
      <c r="B265" s="14" t="n"/>
      <c r="C265" s="8" t="n"/>
      <c r="D265" s="8" t="n"/>
      <c r="E265" s="8" t="n"/>
      <c r="F265" s="8" t="n"/>
      <c r="G265" s="14" t="n"/>
      <c r="H265" s="10">
        <f>IF(A265="","",TEXT(A265,"yyyy-mm"))</f>
        <v/>
      </c>
    </row>
    <row r="266">
      <c r="A266" s="16" t="n"/>
      <c r="B266" s="14" t="n"/>
      <c r="C266" s="8" t="n"/>
      <c r="D266" s="8" t="n"/>
      <c r="E266" s="8" t="n"/>
      <c r="F266" s="8" t="n"/>
      <c r="G266" s="14" t="n"/>
      <c r="H266" s="10">
        <f>IF(A266="","",TEXT(A266,"yyyy-mm"))</f>
        <v/>
      </c>
    </row>
    <row r="267">
      <c r="A267" s="16" t="n"/>
      <c r="B267" s="14" t="n"/>
      <c r="C267" s="8" t="n"/>
      <c r="D267" s="8" t="n"/>
      <c r="E267" s="8" t="n"/>
      <c r="F267" s="8" t="n"/>
      <c r="G267" s="14" t="n"/>
      <c r="H267" s="10">
        <f>IF(A267="","",TEXT(A267,"yyyy-mm"))</f>
        <v/>
      </c>
    </row>
    <row r="268">
      <c r="A268" s="16" t="n"/>
      <c r="B268" s="14" t="n"/>
      <c r="C268" s="8" t="n"/>
      <c r="D268" s="8" t="n"/>
      <c r="E268" s="8" t="n"/>
      <c r="F268" s="8" t="n"/>
      <c r="G268" s="14" t="n"/>
      <c r="H268" s="10">
        <f>IF(A268="","",TEXT(A268,"yyyy-mm"))</f>
        <v/>
      </c>
    </row>
    <row r="269">
      <c r="A269" s="16" t="n"/>
      <c r="B269" s="14" t="n"/>
      <c r="C269" s="8" t="n"/>
      <c r="D269" s="8" t="n"/>
      <c r="E269" s="8" t="n"/>
      <c r="F269" s="8" t="n"/>
      <c r="G269" s="14" t="n"/>
      <c r="H269" s="10">
        <f>IF(A269="","",TEXT(A269,"yyyy-mm"))</f>
        <v/>
      </c>
    </row>
    <row r="270">
      <c r="A270" s="16" t="n"/>
      <c r="B270" s="14" t="n"/>
      <c r="C270" s="8" t="n"/>
      <c r="D270" s="8" t="n"/>
      <c r="E270" s="8" t="n"/>
      <c r="F270" s="8" t="n"/>
      <c r="G270" s="14" t="n"/>
      <c r="H270" s="10">
        <f>IF(A270="","",TEXT(A270,"yyyy-mm"))</f>
        <v/>
      </c>
    </row>
    <row r="271">
      <c r="A271" s="16" t="n"/>
      <c r="B271" s="14" t="n"/>
      <c r="C271" s="8" t="n"/>
      <c r="D271" s="8" t="n"/>
      <c r="E271" s="8" t="n"/>
      <c r="F271" s="8" t="n"/>
      <c r="G271" s="14" t="n"/>
      <c r="H271" s="10">
        <f>IF(A271="","",TEXT(A271,"yyyy-mm"))</f>
        <v/>
      </c>
    </row>
    <row r="272">
      <c r="A272" s="16" t="n"/>
      <c r="B272" s="14" t="n"/>
      <c r="C272" s="8" t="n"/>
      <c r="D272" s="8" t="n"/>
      <c r="E272" s="8" t="n"/>
      <c r="F272" s="8" t="n"/>
      <c r="G272" s="14" t="n"/>
      <c r="H272" s="10">
        <f>IF(A272="","",TEXT(A272,"yyyy-mm"))</f>
        <v/>
      </c>
    </row>
    <row r="273">
      <c r="A273" s="16" t="n"/>
      <c r="B273" s="14" t="n"/>
      <c r="C273" s="8" t="n"/>
      <c r="D273" s="8" t="n"/>
      <c r="E273" s="8" t="n"/>
      <c r="F273" s="8" t="n"/>
      <c r="G273" s="14" t="n"/>
      <c r="H273" s="10">
        <f>IF(A273="","",TEXT(A273,"yyyy-mm"))</f>
        <v/>
      </c>
    </row>
    <row r="274">
      <c r="A274" s="16" t="n"/>
      <c r="B274" s="14" t="n"/>
      <c r="C274" s="8" t="n"/>
      <c r="D274" s="8" t="n"/>
      <c r="E274" s="8" t="n"/>
      <c r="F274" s="8" t="n"/>
      <c r="G274" s="14" t="n"/>
      <c r="H274" s="10">
        <f>IF(A274="","",TEXT(A274,"yyyy-mm"))</f>
        <v/>
      </c>
    </row>
    <row r="275">
      <c r="A275" s="16" t="n"/>
      <c r="B275" s="14" t="n"/>
      <c r="C275" s="8" t="n"/>
      <c r="D275" s="8" t="n"/>
      <c r="E275" s="8" t="n"/>
      <c r="F275" s="8" t="n"/>
      <c r="G275" s="14" t="n"/>
      <c r="H275" s="10">
        <f>IF(A275="","",TEXT(A275,"yyyy-mm"))</f>
        <v/>
      </c>
    </row>
    <row r="276">
      <c r="A276" s="16" t="n"/>
      <c r="B276" s="14" t="n"/>
      <c r="C276" s="8" t="n"/>
      <c r="D276" s="8" t="n"/>
      <c r="E276" s="8" t="n"/>
      <c r="F276" s="8" t="n"/>
      <c r="G276" s="14" t="n"/>
      <c r="H276" s="10">
        <f>IF(A276="","",TEXT(A276,"yyyy-mm"))</f>
        <v/>
      </c>
    </row>
    <row r="277">
      <c r="A277" s="16" t="n"/>
      <c r="B277" s="14" t="n"/>
      <c r="C277" s="8" t="n"/>
      <c r="D277" s="8" t="n"/>
      <c r="E277" s="8" t="n"/>
      <c r="F277" s="8" t="n"/>
      <c r="G277" s="14" t="n"/>
      <c r="H277" s="10">
        <f>IF(A277="","",TEXT(A277,"yyyy-mm"))</f>
        <v/>
      </c>
    </row>
    <row r="278">
      <c r="A278" s="16" t="n"/>
      <c r="B278" s="14" t="n"/>
      <c r="C278" s="8" t="n"/>
      <c r="D278" s="8" t="n"/>
      <c r="E278" s="8" t="n"/>
      <c r="F278" s="8" t="n"/>
      <c r="G278" s="14" t="n"/>
      <c r="H278" s="10">
        <f>IF(A278="","",TEXT(A278,"yyyy-mm"))</f>
        <v/>
      </c>
    </row>
    <row r="279">
      <c r="A279" s="16" t="n"/>
      <c r="B279" s="14" t="n"/>
      <c r="C279" s="8" t="n"/>
      <c r="D279" s="8" t="n"/>
      <c r="E279" s="8" t="n"/>
      <c r="F279" s="8" t="n"/>
      <c r="G279" s="14" t="n"/>
      <c r="H279" s="10">
        <f>IF(A279="","",TEXT(A279,"yyyy-mm"))</f>
        <v/>
      </c>
    </row>
    <row r="280">
      <c r="A280" s="16" t="n"/>
      <c r="B280" s="14" t="n"/>
      <c r="C280" s="8" t="n"/>
      <c r="D280" s="8" t="n"/>
      <c r="E280" s="8" t="n"/>
      <c r="F280" s="8" t="n"/>
      <c r="G280" s="14" t="n"/>
      <c r="H280" s="10">
        <f>IF(A280="","",TEXT(A280,"yyyy-mm"))</f>
        <v/>
      </c>
    </row>
    <row r="281">
      <c r="A281" s="16" t="n"/>
      <c r="B281" s="14" t="n"/>
      <c r="C281" s="8" t="n"/>
      <c r="D281" s="8" t="n"/>
      <c r="E281" s="8" t="n"/>
      <c r="F281" s="8" t="n"/>
      <c r="G281" s="14" t="n"/>
      <c r="H281" s="10">
        <f>IF(A281="","",TEXT(A281,"yyyy-mm"))</f>
        <v/>
      </c>
    </row>
    <row r="282">
      <c r="A282" s="16" t="n"/>
      <c r="B282" s="14" t="n"/>
      <c r="C282" s="8" t="n"/>
      <c r="D282" s="8" t="n"/>
      <c r="E282" s="8" t="n"/>
      <c r="F282" s="8" t="n"/>
      <c r="G282" s="14" t="n"/>
      <c r="H282" s="10">
        <f>IF(A282="","",TEXT(A282,"yyyy-mm"))</f>
        <v/>
      </c>
    </row>
    <row r="283">
      <c r="A283" s="16" t="n"/>
      <c r="B283" s="14" t="n"/>
      <c r="C283" s="8" t="n"/>
      <c r="D283" s="8" t="n"/>
      <c r="E283" s="8" t="n"/>
      <c r="F283" s="8" t="n"/>
      <c r="G283" s="14" t="n"/>
      <c r="H283" s="10">
        <f>IF(A283="","",TEXT(A283,"yyyy-mm"))</f>
        <v/>
      </c>
    </row>
    <row r="284">
      <c r="A284" s="16" t="n"/>
      <c r="B284" s="14" t="n"/>
      <c r="C284" s="8" t="n"/>
      <c r="D284" s="8" t="n"/>
      <c r="E284" s="8" t="n"/>
      <c r="F284" s="8" t="n"/>
      <c r="G284" s="14" t="n"/>
      <c r="H284" s="10">
        <f>IF(A284="","",TEXT(A284,"yyyy-mm"))</f>
        <v/>
      </c>
    </row>
    <row r="285">
      <c r="A285" s="16" t="n"/>
      <c r="B285" s="14" t="n"/>
      <c r="C285" s="8" t="n"/>
      <c r="D285" s="8" t="n"/>
      <c r="E285" s="8" t="n"/>
      <c r="F285" s="8" t="n"/>
      <c r="G285" s="14" t="n"/>
      <c r="H285" s="10">
        <f>IF(A285="","",TEXT(A285,"yyyy-mm"))</f>
        <v/>
      </c>
    </row>
    <row r="286">
      <c r="A286" s="16" t="n"/>
      <c r="B286" s="14" t="n"/>
      <c r="C286" s="8" t="n"/>
      <c r="D286" s="8" t="n"/>
      <c r="E286" s="8" t="n"/>
      <c r="F286" s="8" t="n"/>
      <c r="G286" s="14" t="n"/>
      <c r="H286" s="10">
        <f>IF(A286="","",TEXT(A286,"yyyy-mm"))</f>
        <v/>
      </c>
    </row>
    <row r="287">
      <c r="A287" s="16" t="n"/>
      <c r="B287" s="14" t="n"/>
      <c r="C287" s="8" t="n"/>
      <c r="D287" s="8" t="n"/>
      <c r="E287" s="8" t="n"/>
      <c r="F287" s="8" t="n"/>
      <c r="G287" s="14" t="n"/>
      <c r="H287" s="10">
        <f>IF(A287="","",TEXT(A287,"yyyy-mm"))</f>
        <v/>
      </c>
    </row>
    <row r="288">
      <c r="A288" s="16" t="n"/>
      <c r="B288" s="14" t="n"/>
      <c r="C288" s="8" t="n"/>
      <c r="D288" s="8" t="n"/>
      <c r="E288" s="8" t="n"/>
      <c r="F288" s="8" t="n"/>
      <c r="G288" s="14" t="n"/>
      <c r="H288" s="10">
        <f>IF(A288="","",TEXT(A288,"yyyy-mm"))</f>
        <v/>
      </c>
    </row>
    <row r="289">
      <c r="A289" s="16" t="n"/>
      <c r="B289" s="14" t="n"/>
      <c r="C289" s="8" t="n"/>
      <c r="D289" s="8" t="n"/>
      <c r="E289" s="8" t="n"/>
      <c r="F289" s="8" t="n"/>
      <c r="G289" s="14" t="n"/>
      <c r="H289" s="10">
        <f>IF(A289="","",TEXT(A289,"yyyy-mm"))</f>
        <v/>
      </c>
    </row>
    <row r="290">
      <c r="A290" s="16" t="n"/>
      <c r="B290" s="14" t="n"/>
      <c r="C290" s="8" t="n"/>
      <c r="D290" s="8" t="n"/>
      <c r="E290" s="8" t="n"/>
      <c r="F290" s="8" t="n"/>
      <c r="G290" s="14" t="n"/>
      <c r="H290" s="10">
        <f>IF(A290="","",TEXT(A290,"yyyy-mm"))</f>
        <v/>
      </c>
    </row>
    <row r="291">
      <c r="A291" s="16" t="n"/>
      <c r="B291" s="14" t="n"/>
      <c r="C291" s="8" t="n"/>
      <c r="D291" s="8" t="n"/>
      <c r="E291" s="8" t="n"/>
      <c r="F291" s="8" t="n"/>
      <c r="G291" s="14" t="n"/>
      <c r="H291" s="10">
        <f>IF(A291="","",TEXT(A291,"yyyy-mm"))</f>
        <v/>
      </c>
    </row>
    <row r="292">
      <c r="A292" s="16" t="n"/>
      <c r="B292" s="14" t="n"/>
      <c r="C292" s="8" t="n"/>
      <c r="D292" s="8" t="n"/>
      <c r="E292" s="8" t="n"/>
      <c r="F292" s="8" t="n"/>
      <c r="G292" s="14" t="n"/>
      <c r="H292" s="10">
        <f>IF(A292="","",TEXT(A292,"yyyy-mm"))</f>
        <v/>
      </c>
    </row>
    <row r="293">
      <c r="A293" s="16" t="n"/>
      <c r="B293" s="14" t="n"/>
      <c r="C293" s="8" t="n"/>
      <c r="D293" s="8" t="n"/>
      <c r="E293" s="8" t="n"/>
      <c r="F293" s="8" t="n"/>
      <c r="G293" s="14" t="n"/>
      <c r="H293" s="10">
        <f>IF(A293="","",TEXT(A293,"yyyy-mm"))</f>
        <v/>
      </c>
    </row>
    <row r="294">
      <c r="A294" s="16" t="n"/>
      <c r="B294" s="14" t="n"/>
      <c r="C294" s="8" t="n"/>
      <c r="D294" s="8" t="n"/>
      <c r="E294" s="8" t="n"/>
      <c r="F294" s="8" t="n"/>
      <c r="G294" s="14" t="n"/>
      <c r="H294" s="10">
        <f>IF(A294="","",TEXT(A294,"yyyy-mm"))</f>
        <v/>
      </c>
    </row>
    <row r="295">
      <c r="A295" s="16" t="n"/>
      <c r="B295" s="14" t="n"/>
      <c r="C295" s="8" t="n"/>
      <c r="D295" s="8" t="n"/>
      <c r="E295" s="8" t="n"/>
      <c r="F295" s="8" t="n"/>
      <c r="G295" s="14" t="n"/>
      <c r="H295" s="10">
        <f>IF(A295="","",TEXT(A295,"yyyy-mm"))</f>
        <v/>
      </c>
    </row>
    <row r="296">
      <c r="A296" s="16" t="n"/>
      <c r="B296" s="14" t="n"/>
      <c r="C296" s="8" t="n"/>
      <c r="D296" s="8" t="n"/>
      <c r="E296" s="8" t="n"/>
      <c r="F296" s="8" t="n"/>
      <c r="G296" s="14" t="n"/>
      <c r="H296" s="10">
        <f>IF(A296="","",TEXT(A296,"yyyy-mm"))</f>
        <v/>
      </c>
    </row>
    <row r="297">
      <c r="A297" s="16" t="n"/>
      <c r="B297" s="14" t="n"/>
      <c r="C297" s="8" t="n"/>
      <c r="D297" s="8" t="n"/>
      <c r="E297" s="8" t="n"/>
      <c r="F297" s="8" t="n"/>
      <c r="G297" s="14" t="n"/>
      <c r="H297" s="10">
        <f>IF(A297="","",TEXT(A297,"yyyy-mm"))</f>
        <v/>
      </c>
    </row>
    <row r="298">
      <c r="A298" s="16" t="n"/>
      <c r="B298" s="14" t="n"/>
      <c r="C298" s="8" t="n"/>
      <c r="D298" s="8" t="n"/>
      <c r="E298" s="8" t="n"/>
      <c r="F298" s="8" t="n"/>
      <c r="G298" s="14" t="n"/>
      <c r="H298" s="10">
        <f>IF(A298="","",TEXT(A298,"yyyy-mm"))</f>
        <v/>
      </c>
    </row>
    <row r="299">
      <c r="A299" s="16" t="n"/>
      <c r="B299" s="14" t="n"/>
      <c r="C299" s="8" t="n"/>
      <c r="D299" s="8" t="n"/>
      <c r="E299" s="8" t="n"/>
      <c r="F299" s="8" t="n"/>
      <c r="G299" s="14" t="n"/>
      <c r="H299" s="10">
        <f>IF(A299="","",TEXT(A299,"yyyy-mm"))</f>
        <v/>
      </c>
    </row>
    <row r="300">
      <c r="A300" s="16" t="n"/>
      <c r="B300" s="14" t="n"/>
      <c r="C300" s="8" t="n"/>
      <c r="D300" s="8" t="n"/>
      <c r="E300" s="8" t="n"/>
      <c r="F300" s="8" t="n"/>
      <c r="G300" s="14" t="n"/>
      <c r="H300" s="10">
        <f>IF(A300="","",TEXT(A300,"yyyy-mm"))</f>
        <v/>
      </c>
    </row>
    <row r="301">
      <c r="A301" s="16" t="n"/>
      <c r="B301" s="14" t="n"/>
      <c r="C301" s="8" t="n"/>
      <c r="D301" s="8" t="n"/>
      <c r="E301" s="8" t="n"/>
      <c r="F301" s="8" t="n"/>
      <c r="G301" s="14" t="n"/>
      <c r="H301" s="10">
        <f>IF(A301="","",TEXT(A301,"yyyy-mm"))</f>
        <v/>
      </c>
    </row>
    <row r="302">
      <c r="A302" s="16" t="n"/>
      <c r="B302" s="14" t="n"/>
      <c r="C302" s="8" t="n"/>
      <c r="D302" s="8" t="n"/>
      <c r="E302" s="8" t="n"/>
      <c r="F302" s="8" t="n"/>
      <c r="G302" s="14" t="n"/>
      <c r="H302" s="10">
        <f>IF(A302="","",TEXT(A302,"yyyy-mm"))</f>
        <v/>
      </c>
    </row>
    <row r="303">
      <c r="A303" s="16" t="n"/>
      <c r="B303" s="14" t="n"/>
      <c r="C303" s="8" t="n"/>
      <c r="D303" s="8" t="n"/>
      <c r="E303" s="8" t="n"/>
      <c r="F303" s="8" t="n"/>
      <c r="G303" s="14" t="n"/>
      <c r="H303" s="10">
        <f>IF(A303="","",TEXT(A303,"yyyy-mm"))</f>
        <v/>
      </c>
    </row>
    <row r="304">
      <c r="A304" s="16" t="n"/>
      <c r="B304" s="14" t="n"/>
      <c r="C304" s="8" t="n"/>
      <c r="D304" s="8" t="n"/>
      <c r="E304" s="8" t="n"/>
      <c r="F304" s="8" t="n"/>
      <c r="G304" s="14" t="n"/>
      <c r="H304" s="10">
        <f>IF(A304="","",TEXT(A304,"yyyy-mm"))</f>
        <v/>
      </c>
    </row>
    <row r="305">
      <c r="A305" s="16" t="n"/>
      <c r="B305" s="14" t="n"/>
      <c r="C305" s="8" t="n"/>
      <c r="D305" s="8" t="n"/>
      <c r="E305" s="8" t="n"/>
      <c r="F305" s="8" t="n"/>
      <c r="G305" s="14" t="n"/>
      <c r="H305" s="10">
        <f>IF(A305="","",TEXT(A305,"yyyy-mm"))</f>
        <v/>
      </c>
    </row>
    <row r="306">
      <c r="A306" s="16" t="n"/>
      <c r="B306" s="14" t="n"/>
      <c r="C306" s="8" t="n"/>
      <c r="D306" s="8" t="n"/>
      <c r="E306" s="8" t="n"/>
      <c r="F306" s="8" t="n"/>
      <c r="G306" s="14" t="n"/>
      <c r="H306" s="10">
        <f>IF(A306="","",TEXT(A306,"yyyy-mm"))</f>
        <v/>
      </c>
    </row>
    <row r="307">
      <c r="A307" s="16" t="n"/>
      <c r="B307" s="14" t="n"/>
      <c r="C307" s="8" t="n"/>
      <c r="D307" s="8" t="n"/>
      <c r="E307" s="8" t="n"/>
      <c r="F307" s="8" t="n"/>
      <c r="G307" s="14" t="n"/>
      <c r="H307" s="10">
        <f>IF(A307="","",TEXT(A307,"yyyy-mm"))</f>
        <v/>
      </c>
    </row>
    <row r="308">
      <c r="A308" s="16" t="n"/>
      <c r="B308" s="14" t="n"/>
      <c r="C308" s="8" t="n"/>
      <c r="D308" s="8" t="n"/>
      <c r="E308" s="8" t="n"/>
      <c r="F308" s="8" t="n"/>
      <c r="G308" s="14" t="n"/>
      <c r="H308" s="10">
        <f>IF(A308="","",TEXT(A308,"yyyy-mm"))</f>
        <v/>
      </c>
    </row>
    <row r="309">
      <c r="A309" s="16" t="n"/>
      <c r="B309" s="14" t="n"/>
      <c r="C309" s="8" t="n"/>
      <c r="D309" s="8" t="n"/>
      <c r="E309" s="8" t="n"/>
      <c r="F309" s="8" t="n"/>
      <c r="G309" s="14" t="n"/>
      <c r="H309" s="10">
        <f>IF(A309="","",TEXT(A309,"yyyy-mm"))</f>
        <v/>
      </c>
    </row>
    <row r="310">
      <c r="A310" s="16" t="n"/>
      <c r="B310" s="14" t="n"/>
      <c r="C310" s="8" t="n"/>
      <c r="D310" s="8" t="n"/>
      <c r="E310" s="8" t="n"/>
      <c r="F310" s="8" t="n"/>
      <c r="G310" s="14" t="n"/>
      <c r="H310" s="10">
        <f>IF(A310="","",TEXT(A310,"yyyy-mm"))</f>
        <v/>
      </c>
    </row>
    <row r="311">
      <c r="A311" s="16" t="n"/>
      <c r="B311" s="14" t="n"/>
      <c r="C311" s="8" t="n"/>
      <c r="D311" s="8" t="n"/>
      <c r="E311" s="8" t="n"/>
      <c r="F311" s="8" t="n"/>
      <c r="G311" s="14" t="n"/>
      <c r="H311" s="10">
        <f>IF(A311="","",TEXT(A311,"yyyy-mm"))</f>
        <v/>
      </c>
    </row>
    <row r="312">
      <c r="A312" s="16" t="n"/>
      <c r="B312" s="14" t="n"/>
      <c r="C312" s="8" t="n"/>
      <c r="D312" s="8" t="n"/>
      <c r="E312" s="8" t="n"/>
      <c r="F312" s="8" t="n"/>
      <c r="G312" s="14" t="n"/>
      <c r="H312" s="10">
        <f>IF(A312="","",TEXT(A312,"yyyy-mm"))</f>
        <v/>
      </c>
    </row>
    <row r="313">
      <c r="A313" s="16" t="n"/>
      <c r="B313" s="14" t="n"/>
      <c r="C313" s="8" t="n"/>
      <c r="D313" s="8" t="n"/>
      <c r="E313" s="8" t="n"/>
      <c r="F313" s="8" t="n"/>
      <c r="G313" s="14" t="n"/>
      <c r="H313" s="10">
        <f>IF(A313="","",TEXT(A313,"yyyy-mm"))</f>
        <v/>
      </c>
    </row>
    <row r="314">
      <c r="A314" s="16" t="n"/>
      <c r="B314" s="14" t="n"/>
      <c r="C314" s="8" t="n"/>
      <c r="D314" s="8" t="n"/>
      <c r="E314" s="8" t="n"/>
      <c r="F314" s="8" t="n"/>
      <c r="G314" s="14" t="n"/>
      <c r="H314" s="10">
        <f>IF(A314="","",TEXT(A314,"yyyy-mm"))</f>
        <v/>
      </c>
    </row>
    <row r="315">
      <c r="A315" s="16" t="n"/>
      <c r="B315" s="14" t="n"/>
      <c r="C315" s="8" t="n"/>
      <c r="D315" s="8" t="n"/>
      <c r="E315" s="8" t="n"/>
      <c r="F315" s="8" t="n"/>
      <c r="G315" s="14" t="n"/>
      <c r="H315" s="10">
        <f>IF(A315="","",TEXT(A315,"yyyy-mm"))</f>
        <v/>
      </c>
    </row>
    <row r="316">
      <c r="A316" s="16" t="n"/>
      <c r="B316" s="14" t="n"/>
      <c r="C316" s="8" t="n"/>
      <c r="D316" s="8" t="n"/>
      <c r="E316" s="8" t="n"/>
      <c r="F316" s="8" t="n"/>
      <c r="G316" s="14" t="n"/>
      <c r="H316" s="10">
        <f>IF(A316="","",TEXT(A316,"yyyy-mm"))</f>
        <v/>
      </c>
    </row>
    <row r="317">
      <c r="A317" s="16" t="n"/>
      <c r="B317" s="14" t="n"/>
      <c r="C317" s="8" t="n"/>
      <c r="D317" s="8" t="n"/>
      <c r="E317" s="8" t="n"/>
      <c r="F317" s="8" t="n"/>
      <c r="G317" s="14" t="n"/>
      <c r="H317" s="10">
        <f>IF(A317="","",TEXT(A317,"yyyy-mm"))</f>
        <v/>
      </c>
    </row>
    <row r="318">
      <c r="A318" s="16" t="n"/>
      <c r="B318" s="14" t="n"/>
      <c r="C318" s="8" t="n"/>
      <c r="D318" s="8" t="n"/>
      <c r="E318" s="8" t="n"/>
      <c r="F318" s="8" t="n"/>
      <c r="G318" s="14" t="n"/>
      <c r="H318" s="10">
        <f>IF(A318="","",TEXT(A318,"yyyy-mm"))</f>
        <v/>
      </c>
    </row>
    <row r="319">
      <c r="A319" s="16" t="n"/>
      <c r="B319" s="14" t="n"/>
      <c r="C319" s="8" t="n"/>
      <c r="D319" s="8" t="n"/>
      <c r="E319" s="8" t="n"/>
      <c r="F319" s="8" t="n"/>
      <c r="G319" s="14" t="n"/>
      <c r="H319" s="10">
        <f>IF(A319="","",TEXT(A319,"yyyy-mm"))</f>
        <v/>
      </c>
    </row>
    <row r="320">
      <c r="A320" s="16" t="n"/>
      <c r="B320" s="14" t="n"/>
      <c r="C320" s="8" t="n"/>
      <c r="D320" s="8" t="n"/>
      <c r="E320" s="8" t="n"/>
      <c r="F320" s="8" t="n"/>
      <c r="G320" s="14" t="n"/>
      <c r="H320" s="10">
        <f>IF(A320="","",TEXT(A320,"yyyy-mm"))</f>
        <v/>
      </c>
    </row>
    <row r="321">
      <c r="A321" s="16" t="n"/>
      <c r="B321" s="14" t="n"/>
      <c r="C321" s="8" t="n"/>
      <c r="D321" s="8" t="n"/>
      <c r="E321" s="8" t="n"/>
      <c r="F321" s="8" t="n"/>
      <c r="G321" s="14" t="n"/>
      <c r="H321" s="10">
        <f>IF(A321="","",TEXT(A321,"yyyy-mm"))</f>
        <v/>
      </c>
    </row>
    <row r="322">
      <c r="A322" s="16" t="n"/>
      <c r="B322" s="14" t="n"/>
      <c r="C322" s="8" t="n"/>
      <c r="D322" s="8" t="n"/>
      <c r="E322" s="8" t="n"/>
      <c r="F322" s="8" t="n"/>
      <c r="G322" s="14" t="n"/>
      <c r="H322" s="10">
        <f>IF(A322="","",TEXT(A322,"yyyy-mm"))</f>
        <v/>
      </c>
    </row>
    <row r="323">
      <c r="A323" s="16" t="n"/>
      <c r="B323" s="14" t="n"/>
      <c r="C323" s="8" t="n"/>
      <c r="D323" s="8" t="n"/>
      <c r="E323" s="8" t="n"/>
      <c r="F323" s="8" t="n"/>
      <c r="G323" s="14" t="n"/>
      <c r="H323" s="10">
        <f>IF(A323="","",TEXT(A323,"yyyy-mm"))</f>
        <v/>
      </c>
    </row>
    <row r="324">
      <c r="A324" s="16" t="n"/>
      <c r="B324" s="14" t="n"/>
      <c r="C324" s="8" t="n"/>
      <c r="D324" s="8" t="n"/>
      <c r="E324" s="8" t="n"/>
      <c r="F324" s="8" t="n"/>
      <c r="G324" s="14" t="n"/>
      <c r="H324" s="10">
        <f>IF(A324="","",TEXT(A324,"yyyy-mm"))</f>
        <v/>
      </c>
    </row>
    <row r="325">
      <c r="A325" s="16" t="n"/>
      <c r="B325" s="14" t="n"/>
      <c r="C325" s="8" t="n"/>
      <c r="D325" s="8" t="n"/>
      <c r="E325" s="8" t="n"/>
      <c r="F325" s="8" t="n"/>
      <c r="G325" s="14" t="n"/>
      <c r="H325" s="10">
        <f>IF(A325="","",TEXT(A325,"yyyy-mm"))</f>
        <v/>
      </c>
    </row>
    <row r="326">
      <c r="A326" s="16" t="n"/>
      <c r="B326" s="14" t="n"/>
      <c r="C326" s="8" t="n"/>
      <c r="D326" s="8" t="n"/>
      <c r="E326" s="8" t="n"/>
      <c r="F326" s="8" t="n"/>
      <c r="G326" s="14" t="n"/>
      <c r="H326" s="10">
        <f>IF(A326="","",TEXT(A326,"yyyy-mm"))</f>
        <v/>
      </c>
    </row>
    <row r="327">
      <c r="A327" s="16" t="n"/>
      <c r="B327" s="14" t="n"/>
      <c r="C327" s="8" t="n"/>
      <c r="D327" s="8" t="n"/>
      <c r="E327" s="8" t="n"/>
      <c r="F327" s="8" t="n"/>
      <c r="G327" s="14" t="n"/>
      <c r="H327" s="10">
        <f>IF(A327="","",TEXT(A327,"yyyy-mm"))</f>
        <v/>
      </c>
    </row>
    <row r="328">
      <c r="A328" s="16" t="n"/>
      <c r="B328" s="14" t="n"/>
      <c r="C328" s="8" t="n"/>
      <c r="D328" s="8" t="n"/>
      <c r="E328" s="8" t="n"/>
      <c r="F328" s="8" t="n"/>
      <c r="G328" s="14" t="n"/>
      <c r="H328" s="10">
        <f>IF(A328="","",TEXT(A328,"yyyy-mm"))</f>
        <v/>
      </c>
    </row>
    <row r="329">
      <c r="A329" s="16" t="n"/>
      <c r="B329" s="14" t="n"/>
      <c r="C329" s="8" t="n"/>
      <c r="D329" s="8" t="n"/>
      <c r="E329" s="8" t="n"/>
      <c r="F329" s="8" t="n"/>
      <c r="G329" s="14" t="n"/>
      <c r="H329" s="10">
        <f>IF(A329="","",TEXT(A329,"yyyy-mm"))</f>
        <v/>
      </c>
    </row>
    <row r="330">
      <c r="A330" s="16" t="n"/>
      <c r="B330" s="14" t="n"/>
      <c r="C330" s="8" t="n"/>
      <c r="D330" s="8" t="n"/>
      <c r="E330" s="8" t="n"/>
      <c r="F330" s="8" t="n"/>
      <c r="G330" s="14" t="n"/>
      <c r="H330" s="10">
        <f>IF(A330="","",TEXT(A330,"yyyy-mm"))</f>
        <v/>
      </c>
    </row>
    <row r="331">
      <c r="A331" s="16" t="n"/>
      <c r="B331" s="14" t="n"/>
      <c r="C331" s="8" t="n"/>
      <c r="D331" s="8" t="n"/>
      <c r="E331" s="8" t="n"/>
      <c r="F331" s="8" t="n"/>
      <c r="G331" s="14" t="n"/>
      <c r="H331" s="10">
        <f>IF(A331="","",TEXT(A331,"yyyy-mm"))</f>
        <v/>
      </c>
    </row>
    <row r="332">
      <c r="A332" s="16" t="n"/>
      <c r="B332" s="14" t="n"/>
      <c r="C332" s="8" t="n"/>
      <c r="D332" s="8" t="n"/>
      <c r="E332" s="8" t="n"/>
      <c r="F332" s="8" t="n"/>
      <c r="G332" s="14" t="n"/>
      <c r="H332" s="10">
        <f>IF(A332="","",TEXT(A332,"yyyy-mm"))</f>
        <v/>
      </c>
    </row>
    <row r="333">
      <c r="A333" s="16" t="n"/>
      <c r="B333" s="14" t="n"/>
      <c r="C333" s="8" t="n"/>
      <c r="D333" s="8" t="n"/>
      <c r="E333" s="8" t="n"/>
      <c r="F333" s="8" t="n"/>
      <c r="G333" s="14" t="n"/>
      <c r="H333" s="10">
        <f>IF(A333="","",TEXT(A333,"yyyy-mm"))</f>
        <v/>
      </c>
    </row>
    <row r="334">
      <c r="A334" s="16" t="n"/>
      <c r="B334" s="14" t="n"/>
      <c r="C334" s="8" t="n"/>
      <c r="D334" s="8" t="n"/>
      <c r="E334" s="8" t="n"/>
      <c r="F334" s="8" t="n"/>
      <c r="G334" s="14" t="n"/>
      <c r="H334" s="10">
        <f>IF(A334="","",TEXT(A334,"yyyy-mm"))</f>
        <v/>
      </c>
    </row>
    <row r="335">
      <c r="A335" s="16" t="n"/>
      <c r="B335" s="14" t="n"/>
      <c r="C335" s="8" t="n"/>
      <c r="D335" s="8" t="n"/>
      <c r="E335" s="8" t="n"/>
      <c r="F335" s="8" t="n"/>
      <c r="G335" s="14" t="n"/>
      <c r="H335" s="10">
        <f>IF(A335="","",TEXT(A335,"yyyy-mm"))</f>
        <v/>
      </c>
    </row>
    <row r="336">
      <c r="A336" s="16" t="n"/>
      <c r="B336" s="14" t="n"/>
      <c r="C336" s="8" t="n"/>
      <c r="D336" s="8" t="n"/>
      <c r="E336" s="8" t="n"/>
      <c r="F336" s="8" t="n"/>
      <c r="G336" s="14" t="n"/>
      <c r="H336" s="10">
        <f>IF(A336="","",TEXT(A336,"yyyy-mm"))</f>
        <v/>
      </c>
    </row>
    <row r="337">
      <c r="A337" s="16" t="n"/>
      <c r="B337" s="14" t="n"/>
      <c r="C337" s="8" t="n"/>
      <c r="D337" s="8" t="n"/>
      <c r="E337" s="8" t="n"/>
      <c r="F337" s="8" t="n"/>
      <c r="G337" s="14" t="n"/>
      <c r="H337" s="10">
        <f>IF(A337="","",TEXT(A337,"yyyy-mm"))</f>
        <v/>
      </c>
    </row>
    <row r="338">
      <c r="A338" s="16" t="n"/>
      <c r="B338" s="14" t="n"/>
      <c r="C338" s="8" t="n"/>
      <c r="D338" s="8" t="n"/>
      <c r="E338" s="8" t="n"/>
      <c r="F338" s="8" t="n"/>
      <c r="G338" s="14" t="n"/>
      <c r="H338" s="10">
        <f>IF(A338="","",TEXT(A338,"yyyy-mm"))</f>
        <v/>
      </c>
    </row>
    <row r="339">
      <c r="A339" s="16" t="n"/>
      <c r="B339" s="14" t="n"/>
      <c r="C339" s="8" t="n"/>
      <c r="D339" s="8" t="n"/>
      <c r="E339" s="8" t="n"/>
      <c r="F339" s="8" t="n"/>
      <c r="G339" s="14" t="n"/>
      <c r="H339" s="10">
        <f>IF(A339="","",TEXT(A339,"yyyy-mm"))</f>
        <v/>
      </c>
    </row>
    <row r="340">
      <c r="A340" s="16" t="n"/>
      <c r="B340" s="14" t="n"/>
      <c r="C340" s="8" t="n"/>
      <c r="D340" s="8" t="n"/>
      <c r="E340" s="8" t="n"/>
      <c r="F340" s="8" t="n"/>
      <c r="G340" s="14" t="n"/>
      <c r="H340" s="10">
        <f>IF(A340="","",TEXT(A340,"yyyy-mm"))</f>
        <v/>
      </c>
    </row>
    <row r="341">
      <c r="A341" s="16" t="n"/>
      <c r="B341" s="14" t="n"/>
      <c r="C341" s="8" t="n"/>
      <c r="D341" s="8" t="n"/>
      <c r="E341" s="8" t="n"/>
      <c r="F341" s="8" t="n"/>
      <c r="G341" s="14" t="n"/>
      <c r="H341" s="10">
        <f>IF(A341="","",TEXT(A341,"yyyy-mm"))</f>
        <v/>
      </c>
    </row>
    <row r="342">
      <c r="A342" s="16" t="n"/>
      <c r="B342" s="14" t="n"/>
      <c r="C342" s="8" t="n"/>
      <c r="D342" s="8" t="n"/>
      <c r="E342" s="8" t="n"/>
      <c r="F342" s="8" t="n"/>
      <c r="G342" s="14" t="n"/>
      <c r="H342" s="10">
        <f>IF(A342="","",TEXT(A342,"yyyy-mm"))</f>
        <v/>
      </c>
    </row>
    <row r="343">
      <c r="A343" s="16" t="n"/>
      <c r="B343" s="14" t="n"/>
      <c r="C343" s="8" t="n"/>
      <c r="D343" s="8" t="n"/>
      <c r="E343" s="8" t="n"/>
      <c r="F343" s="8" t="n"/>
      <c r="G343" s="14" t="n"/>
      <c r="H343" s="10">
        <f>IF(A343="","",TEXT(A343,"yyyy-mm"))</f>
        <v/>
      </c>
    </row>
    <row r="344">
      <c r="A344" s="16" t="n"/>
      <c r="B344" s="14" t="n"/>
      <c r="C344" s="8" t="n"/>
      <c r="D344" s="8" t="n"/>
      <c r="E344" s="8" t="n"/>
      <c r="F344" s="8" t="n"/>
      <c r="G344" s="14" t="n"/>
      <c r="H344" s="10">
        <f>IF(A344="","",TEXT(A344,"yyyy-mm"))</f>
        <v/>
      </c>
    </row>
    <row r="345">
      <c r="A345" s="16" t="n"/>
      <c r="B345" s="14" t="n"/>
      <c r="C345" s="8" t="n"/>
      <c r="D345" s="8" t="n"/>
      <c r="E345" s="8" t="n"/>
      <c r="F345" s="8" t="n"/>
      <c r="G345" s="14" t="n"/>
      <c r="H345" s="10">
        <f>IF(A345="","",TEXT(A345,"yyyy-mm"))</f>
        <v/>
      </c>
    </row>
    <row r="346">
      <c r="A346" s="16" t="n"/>
      <c r="B346" s="14" t="n"/>
      <c r="C346" s="8" t="n"/>
      <c r="D346" s="8" t="n"/>
      <c r="E346" s="8" t="n"/>
      <c r="F346" s="8" t="n"/>
      <c r="G346" s="14" t="n"/>
      <c r="H346" s="10">
        <f>IF(A346="","",TEXT(A346,"yyyy-mm"))</f>
        <v/>
      </c>
    </row>
    <row r="347">
      <c r="A347" s="16" t="n"/>
      <c r="B347" s="14" t="n"/>
      <c r="C347" s="8" t="n"/>
      <c r="D347" s="8" t="n"/>
      <c r="E347" s="8" t="n"/>
      <c r="F347" s="8" t="n"/>
      <c r="G347" s="14" t="n"/>
      <c r="H347" s="10">
        <f>IF(A347="","",TEXT(A347,"yyyy-mm"))</f>
        <v/>
      </c>
    </row>
    <row r="348">
      <c r="A348" s="16" t="n"/>
      <c r="B348" s="14" t="n"/>
      <c r="C348" s="8" t="n"/>
      <c r="D348" s="8" t="n"/>
      <c r="E348" s="8" t="n"/>
      <c r="F348" s="8" t="n"/>
      <c r="G348" s="14" t="n"/>
      <c r="H348" s="10">
        <f>IF(A348="","",TEXT(A348,"yyyy-mm"))</f>
        <v/>
      </c>
    </row>
    <row r="349">
      <c r="A349" s="16" t="n"/>
      <c r="B349" s="14" t="n"/>
      <c r="C349" s="8" t="n"/>
      <c r="D349" s="8" t="n"/>
      <c r="E349" s="8" t="n"/>
      <c r="F349" s="8" t="n"/>
      <c r="G349" s="14" t="n"/>
      <c r="H349" s="10">
        <f>IF(A349="","",TEXT(A349,"yyyy-mm"))</f>
        <v/>
      </c>
    </row>
    <row r="350">
      <c r="A350" s="16" t="n"/>
      <c r="B350" s="14" t="n"/>
      <c r="C350" s="8" t="n"/>
      <c r="D350" s="8" t="n"/>
      <c r="E350" s="8" t="n"/>
      <c r="F350" s="8" t="n"/>
      <c r="G350" s="14" t="n"/>
      <c r="H350" s="10">
        <f>IF(A350="","",TEXT(A350,"yyyy-mm"))</f>
        <v/>
      </c>
    </row>
    <row r="351">
      <c r="A351" s="16" t="n"/>
      <c r="B351" s="14" t="n"/>
      <c r="C351" s="8" t="n"/>
      <c r="D351" s="8" t="n"/>
      <c r="E351" s="8" t="n"/>
      <c r="F351" s="8" t="n"/>
      <c r="G351" s="14" t="n"/>
      <c r="H351" s="10">
        <f>IF(A351="","",TEXT(A351,"yyyy-mm"))</f>
        <v/>
      </c>
    </row>
    <row r="352">
      <c r="A352" s="16" t="n"/>
      <c r="B352" s="14" t="n"/>
      <c r="C352" s="8" t="n"/>
      <c r="D352" s="8" t="n"/>
      <c r="E352" s="8" t="n"/>
      <c r="F352" s="8" t="n"/>
      <c r="G352" s="14" t="n"/>
      <c r="H352" s="10">
        <f>IF(A352="","",TEXT(A352,"yyyy-mm"))</f>
        <v/>
      </c>
    </row>
    <row r="353">
      <c r="A353" s="16" t="n"/>
      <c r="B353" s="14" t="n"/>
      <c r="C353" s="8" t="n"/>
      <c r="D353" s="8" t="n"/>
      <c r="E353" s="8" t="n"/>
      <c r="F353" s="8" t="n"/>
      <c r="G353" s="14" t="n"/>
      <c r="H353" s="10">
        <f>IF(A353="","",TEXT(A353,"yyyy-mm"))</f>
        <v/>
      </c>
    </row>
    <row r="354">
      <c r="A354" s="16" t="n"/>
      <c r="B354" s="14" t="n"/>
      <c r="C354" s="8" t="n"/>
      <c r="D354" s="8" t="n"/>
      <c r="E354" s="8" t="n"/>
      <c r="F354" s="8" t="n"/>
      <c r="G354" s="14" t="n"/>
      <c r="H354" s="10">
        <f>IF(A354="","",TEXT(A354,"yyyy-mm"))</f>
        <v/>
      </c>
    </row>
    <row r="355">
      <c r="A355" s="16" t="n"/>
      <c r="B355" s="14" t="n"/>
      <c r="C355" s="8" t="n"/>
      <c r="D355" s="8" t="n"/>
      <c r="E355" s="8" t="n"/>
      <c r="F355" s="8" t="n"/>
      <c r="G355" s="14" t="n"/>
      <c r="H355" s="10">
        <f>IF(A355="","",TEXT(A355,"yyyy-mm"))</f>
        <v/>
      </c>
    </row>
    <row r="356">
      <c r="A356" s="16" t="n"/>
      <c r="B356" s="14" t="n"/>
      <c r="C356" s="8" t="n"/>
      <c r="D356" s="8" t="n"/>
      <c r="E356" s="8" t="n"/>
      <c r="F356" s="8" t="n"/>
      <c r="G356" s="14" t="n"/>
      <c r="H356" s="10">
        <f>IF(A356="","",TEXT(A356,"yyyy-mm"))</f>
        <v/>
      </c>
    </row>
    <row r="357">
      <c r="A357" s="16" t="n"/>
      <c r="B357" s="14" t="n"/>
      <c r="C357" s="8" t="n"/>
      <c r="D357" s="8" t="n"/>
      <c r="E357" s="8" t="n"/>
      <c r="F357" s="8" t="n"/>
      <c r="G357" s="14" t="n"/>
      <c r="H357" s="10">
        <f>IF(A357="","",TEXT(A357,"yyyy-mm"))</f>
        <v/>
      </c>
    </row>
    <row r="358">
      <c r="A358" s="16" t="n"/>
      <c r="B358" s="14" t="n"/>
      <c r="C358" s="8" t="n"/>
      <c r="D358" s="8" t="n"/>
      <c r="E358" s="8" t="n"/>
      <c r="F358" s="8" t="n"/>
      <c r="G358" s="14" t="n"/>
      <c r="H358" s="10">
        <f>IF(A358="","",TEXT(A358,"yyyy-mm"))</f>
        <v/>
      </c>
    </row>
    <row r="359">
      <c r="A359" s="16" t="n"/>
      <c r="B359" s="14" t="n"/>
      <c r="C359" s="8" t="n"/>
      <c r="D359" s="8" t="n"/>
      <c r="E359" s="8" t="n"/>
      <c r="F359" s="8" t="n"/>
      <c r="G359" s="14" t="n"/>
      <c r="H359" s="10">
        <f>IF(A359="","",TEXT(A359,"yyyy-mm"))</f>
        <v/>
      </c>
    </row>
    <row r="360">
      <c r="A360" s="16" t="n"/>
      <c r="B360" s="14" t="n"/>
      <c r="C360" s="8" t="n"/>
      <c r="D360" s="8" t="n"/>
      <c r="E360" s="8" t="n"/>
      <c r="F360" s="8" t="n"/>
      <c r="G360" s="14" t="n"/>
      <c r="H360" s="10">
        <f>IF(A360="","",TEXT(A360,"yyyy-mm"))</f>
        <v/>
      </c>
    </row>
    <row r="361">
      <c r="A361" s="16" t="n"/>
      <c r="B361" s="14" t="n"/>
      <c r="C361" s="8" t="n"/>
      <c r="D361" s="8" t="n"/>
      <c r="E361" s="8" t="n"/>
      <c r="F361" s="8" t="n"/>
      <c r="G361" s="14" t="n"/>
      <c r="H361" s="10">
        <f>IF(A361="","",TEXT(A361,"yyyy-mm"))</f>
        <v/>
      </c>
    </row>
    <row r="362">
      <c r="A362" s="16" t="n"/>
      <c r="B362" s="14" t="n"/>
      <c r="C362" s="8" t="n"/>
      <c r="D362" s="8" t="n"/>
      <c r="E362" s="8" t="n"/>
      <c r="F362" s="8" t="n"/>
      <c r="G362" s="14" t="n"/>
      <c r="H362" s="10">
        <f>IF(A362="","",TEXT(A362,"yyyy-mm"))</f>
        <v/>
      </c>
    </row>
    <row r="363">
      <c r="A363" s="16" t="n"/>
      <c r="B363" s="14" t="n"/>
      <c r="C363" s="8" t="n"/>
      <c r="D363" s="8" t="n"/>
      <c r="E363" s="8" t="n"/>
      <c r="F363" s="8" t="n"/>
      <c r="G363" s="14" t="n"/>
      <c r="H363" s="10">
        <f>IF(A363="","",TEXT(A363,"yyyy-mm"))</f>
        <v/>
      </c>
    </row>
    <row r="364">
      <c r="A364" s="16" t="n"/>
      <c r="B364" s="14" t="n"/>
      <c r="C364" s="8" t="n"/>
      <c r="D364" s="8" t="n"/>
      <c r="E364" s="8" t="n"/>
      <c r="F364" s="8" t="n"/>
      <c r="G364" s="14" t="n"/>
      <c r="H364" s="10">
        <f>IF(A364="","",TEXT(A364,"yyyy-mm"))</f>
        <v/>
      </c>
    </row>
    <row r="365">
      <c r="A365" s="16" t="n"/>
      <c r="B365" s="14" t="n"/>
      <c r="C365" s="8" t="n"/>
      <c r="D365" s="8" t="n"/>
      <c r="E365" s="8" t="n"/>
      <c r="F365" s="8" t="n"/>
      <c r="G365" s="14" t="n"/>
      <c r="H365" s="10">
        <f>IF(A365="","",TEXT(A365,"yyyy-mm"))</f>
        <v/>
      </c>
    </row>
    <row r="366">
      <c r="A366" s="16" t="n"/>
      <c r="B366" s="14" t="n"/>
      <c r="C366" s="8" t="n"/>
      <c r="D366" s="8" t="n"/>
      <c r="E366" s="8" t="n"/>
      <c r="F366" s="8" t="n"/>
      <c r="G366" s="14" t="n"/>
      <c r="H366" s="10">
        <f>IF(A366="","",TEXT(A366,"yyyy-mm"))</f>
        <v/>
      </c>
    </row>
    <row r="367">
      <c r="A367" s="16" t="n"/>
      <c r="B367" s="14" t="n"/>
      <c r="C367" s="8" t="n"/>
      <c r="D367" s="8" t="n"/>
      <c r="E367" s="8" t="n"/>
      <c r="F367" s="8" t="n"/>
      <c r="G367" s="14" t="n"/>
      <c r="H367" s="10">
        <f>IF(A367="","",TEXT(A367,"yyyy-mm"))</f>
        <v/>
      </c>
    </row>
    <row r="368">
      <c r="A368" s="16" t="n"/>
      <c r="B368" s="14" t="n"/>
      <c r="C368" s="8" t="n"/>
      <c r="D368" s="8" t="n"/>
      <c r="E368" s="8" t="n"/>
      <c r="F368" s="8" t="n"/>
      <c r="G368" s="14" t="n"/>
      <c r="H368" s="10">
        <f>IF(A368="","",TEXT(A368,"yyyy-mm"))</f>
        <v/>
      </c>
    </row>
    <row r="369">
      <c r="A369" s="16" t="n"/>
      <c r="B369" s="14" t="n"/>
      <c r="C369" s="8" t="n"/>
      <c r="D369" s="8" t="n"/>
      <c r="E369" s="8" t="n"/>
      <c r="F369" s="8" t="n"/>
      <c r="G369" s="14" t="n"/>
      <c r="H369" s="10">
        <f>IF(A369="","",TEXT(A369,"yyyy-mm"))</f>
        <v/>
      </c>
    </row>
    <row r="370">
      <c r="A370" s="16" t="n"/>
      <c r="B370" s="14" t="n"/>
      <c r="C370" s="8" t="n"/>
      <c r="D370" s="8" t="n"/>
      <c r="E370" s="8" t="n"/>
      <c r="F370" s="8" t="n"/>
      <c r="G370" s="14" t="n"/>
      <c r="H370" s="10">
        <f>IF(A370="","",TEXT(A370,"yyyy-mm"))</f>
        <v/>
      </c>
    </row>
    <row r="371">
      <c r="A371" s="16" t="n"/>
      <c r="B371" s="14" t="n"/>
      <c r="C371" s="8" t="n"/>
      <c r="D371" s="8" t="n"/>
      <c r="E371" s="8" t="n"/>
      <c r="F371" s="8" t="n"/>
      <c r="G371" s="14" t="n"/>
      <c r="H371" s="10">
        <f>IF(A371="","",TEXT(A371,"yyyy-mm"))</f>
        <v/>
      </c>
    </row>
    <row r="372">
      <c r="A372" s="16" t="n"/>
      <c r="B372" s="14" t="n"/>
      <c r="C372" s="8" t="n"/>
      <c r="D372" s="8" t="n"/>
      <c r="E372" s="8" t="n"/>
      <c r="F372" s="8" t="n"/>
      <c r="G372" s="14" t="n"/>
      <c r="H372" s="10">
        <f>IF(A372="","",TEXT(A372,"yyyy-mm"))</f>
        <v/>
      </c>
    </row>
    <row r="373">
      <c r="A373" s="16" t="n"/>
      <c r="B373" s="14" t="n"/>
      <c r="C373" s="8" t="n"/>
      <c r="D373" s="8" t="n"/>
      <c r="E373" s="8" t="n"/>
      <c r="F373" s="8" t="n"/>
      <c r="G373" s="14" t="n"/>
      <c r="H373" s="10">
        <f>IF(A373="","",TEXT(A373,"yyyy-mm"))</f>
        <v/>
      </c>
    </row>
    <row r="374">
      <c r="A374" s="16" t="n"/>
      <c r="B374" s="14" t="n"/>
      <c r="C374" s="8" t="n"/>
      <c r="D374" s="8" t="n"/>
      <c r="E374" s="8" t="n"/>
      <c r="F374" s="8" t="n"/>
      <c r="G374" s="14" t="n"/>
      <c r="H374" s="10">
        <f>IF(A374="","",TEXT(A374,"yyyy-mm"))</f>
        <v/>
      </c>
    </row>
    <row r="375">
      <c r="A375" s="16" t="n"/>
      <c r="B375" s="14" t="n"/>
      <c r="C375" s="8" t="n"/>
      <c r="D375" s="8" t="n"/>
      <c r="E375" s="8" t="n"/>
      <c r="F375" s="8" t="n"/>
      <c r="G375" s="14" t="n"/>
      <c r="H375" s="10">
        <f>IF(A375="","",TEXT(A375,"yyyy-mm"))</f>
        <v/>
      </c>
    </row>
    <row r="376">
      <c r="A376" s="16" t="n"/>
      <c r="B376" s="14" t="n"/>
      <c r="C376" s="8" t="n"/>
      <c r="D376" s="8" t="n"/>
      <c r="E376" s="8" t="n"/>
      <c r="F376" s="8" t="n"/>
      <c r="G376" s="14" t="n"/>
      <c r="H376" s="10">
        <f>IF(A376="","",TEXT(A376,"yyyy-mm"))</f>
        <v/>
      </c>
    </row>
    <row r="377">
      <c r="A377" s="16" t="n"/>
      <c r="B377" s="14" t="n"/>
      <c r="C377" s="8" t="n"/>
      <c r="D377" s="8" t="n"/>
      <c r="E377" s="8" t="n"/>
      <c r="F377" s="8" t="n"/>
      <c r="G377" s="14" t="n"/>
      <c r="H377" s="10">
        <f>IF(A377="","",TEXT(A377,"yyyy-mm"))</f>
        <v/>
      </c>
    </row>
    <row r="378">
      <c r="A378" s="16" t="n"/>
      <c r="B378" s="14" t="n"/>
      <c r="C378" s="8" t="n"/>
      <c r="D378" s="8" t="n"/>
      <c r="E378" s="8" t="n"/>
      <c r="F378" s="8" t="n"/>
      <c r="G378" s="14" t="n"/>
      <c r="H378" s="10">
        <f>IF(A378="","",TEXT(A378,"yyyy-mm"))</f>
        <v/>
      </c>
    </row>
    <row r="379">
      <c r="A379" s="16" t="n"/>
      <c r="B379" s="14" t="n"/>
      <c r="C379" s="8" t="n"/>
      <c r="D379" s="8" t="n"/>
      <c r="E379" s="8" t="n"/>
      <c r="F379" s="8" t="n"/>
      <c r="G379" s="14" t="n"/>
      <c r="H379" s="10">
        <f>IF(A379="","",TEXT(A379,"yyyy-mm"))</f>
        <v/>
      </c>
    </row>
    <row r="380">
      <c r="A380" s="16" t="n"/>
      <c r="B380" s="14" t="n"/>
      <c r="C380" s="8" t="n"/>
      <c r="D380" s="8" t="n"/>
      <c r="E380" s="8" t="n"/>
      <c r="F380" s="8" t="n"/>
      <c r="G380" s="14" t="n"/>
      <c r="H380" s="10">
        <f>IF(A380="","",TEXT(A380,"yyyy-mm"))</f>
        <v/>
      </c>
    </row>
    <row r="381">
      <c r="A381" s="16" t="n"/>
      <c r="B381" s="14" t="n"/>
      <c r="C381" s="8" t="n"/>
      <c r="D381" s="8" t="n"/>
      <c r="E381" s="8" t="n"/>
      <c r="F381" s="8" t="n"/>
      <c r="G381" s="14" t="n"/>
      <c r="H381" s="10">
        <f>IF(A381="","",TEXT(A381,"yyyy-mm"))</f>
        <v/>
      </c>
    </row>
    <row r="382">
      <c r="A382" s="16" t="n"/>
      <c r="B382" s="14" t="n"/>
      <c r="C382" s="8" t="n"/>
      <c r="D382" s="8" t="n"/>
      <c r="E382" s="8" t="n"/>
      <c r="F382" s="8" t="n"/>
      <c r="G382" s="14" t="n"/>
      <c r="H382" s="10">
        <f>IF(A382="","",TEXT(A382,"yyyy-mm"))</f>
        <v/>
      </c>
    </row>
    <row r="383">
      <c r="A383" s="16" t="n"/>
      <c r="B383" s="14" t="n"/>
      <c r="C383" s="8" t="n"/>
      <c r="D383" s="8" t="n"/>
      <c r="E383" s="8" t="n"/>
      <c r="F383" s="8" t="n"/>
      <c r="G383" s="14" t="n"/>
      <c r="H383" s="10">
        <f>IF(A383="","",TEXT(A383,"yyyy-mm"))</f>
        <v/>
      </c>
    </row>
    <row r="384">
      <c r="A384" s="16" t="n"/>
      <c r="B384" s="14" t="n"/>
      <c r="C384" s="8" t="n"/>
      <c r="D384" s="8" t="n"/>
      <c r="E384" s="8" t="n"/>
      <c r="F384" s="8" t="n"/>
      <c r="G384" s="14" t="n"/>
      <c r="H384" s="10">
        <f>IF(A384="","",TEXT(A384,"yyyy-mm"))</f>
        <v/>
      </c>
    </row>
    <row r="385">
      <c r="A385" s="16" t="n"/>
      <c r="B385" s="14" t="n"/>
      <c r="C385" s="8" t="n"/>
      <c r="D385" s="8" t="n"/>
      <c r="E385" s="8" t="n"/>
      <c r="F385" s="8" t="n"/>
      <c r="G385" s="14" t="n"/>
      <c r="H385" s="10">
        <f>IF(A385="","",TEXT(A385,"yyyy-mm"))</f>
        <v/>
      </c>
    </row>
    <row r="386">
      <c r="A386" s="16" t="n"/>
      <c r="B386" s="14" t="n"/>
      <c r="C386" s="8" t="n"/>
      <c r="D386" s="8" t="n"/>
      <c r="E386" s="8" t="n"/>
      <c r="F386" s="8" t="n"/>
      <c r="G386" s="14" t="n"/>
      <c r="H386" s="10">
        <f>IF(A386="","",TEXT(A386,"yyyy-mm"))</f>
        <v/>
      </c>
    </row>
    <row r="387">
      <c r="A387" s="16" t="n"/>
      <c r="B387" s="14" t="n"/>
      <c r="C387" s="8" t="n"/>
      <c r="D387" s="8" t="n"/>
      <c r="E387" s="8" t="n"/>
      <c r="F387" s="8" t="n"/>
      <c r="G387" s="14" t="n"/>
      <c r="H387" s="10">
        <f>IF(A387="","",TEXT(A387,"yyyy-mm"))</f>
        <v/>
      </c>
    </row>
    <row r="388">
      <c r="A388" s="16" t="n"/>
      <c r="B388" s="14" t="n"/>
      <c r="C388" s="8" t="n"/>
      <c r="D388" s="8" t="n"/>
      <c r="E388" s="8" t="n"/>
      <c r="F388" s="8" t="n"/>
      <c r="G388" s="14" t="n"/>
      <c r="H388" s="10">
        <f>IF(A388="","",TEXT(A388,"yyyy-mm"))</f>
        <v/>
      </c>
    </row>
    <row r="389">
      <c r="A389" s="16" t="n"/>
      <c r="B389" s="14" t="n"/>
      <c r="C389" s="8" t="n"/>
      <c r="D389" s="8" t="n"/>
      <c r="E389" s="8" t="n"/>
      <c r="F389" s="8" t="n"/>
      <c r="G389" s="14" t="n"/>
      <c r="H389" s="10">
        <f>IF(A389="","",TEXT(A389,"yyyy-mm"))</f>
        <v/>
      </c>
    </row>
    <row r="390">
      <c r="A390" s="16" t="n"/>
      <c r="B390" s="14" t="n"/>
      <c r="C390" s="8" t="n"/>
      <c r="D390" s="8" t="n"/>
      <c r="E390" s="8" t="n"/>
      <c r="F390" s="8" t="n"/>
      <c r="G390" s="14" t="n"/>
      <c r="H390" s="10">
        <f>IF(A390="","",TEXT(A390,"yyyy-mm"))</f>
        <v/>
      </c>
    </row>
    <row r="391">
      <c r="A391" s="16" t="n"/>
      <c r="B391" s="14" t="n"/>
      <c r="C391" s="8" t="n"/>
      <c r="D391" s="8" t="n"/>
      <c r="E391" s="8" t="n"/>
      <c r="F391" s="8" t="n"/>
      <c r="G391" s="14" t="n"/>
      <c r="H391" s="10">
        <f>IF(A391="","",TEXT(A391,"yyyy-mm"))</f>
        <v/>
      </c>
    </row>
    <row r="392">
      <c r="A392" s="16" t="n"/>
      <c r="B392" s="14" t="n"/>
      <c r="C392" s="8" t="n"/>
      <c r="D392" s="8" t="n"/>
      <c r="E392" s="8" t="n"/>
      <c r="F392" s="8" t="n"/>
      <c r="G392" s="14" t="n"/>
      <c r="H392" s="10">
        <f>IF(A392="","",TEXT(A392,"yyyy-mm"))</f>
        <v/>
      </c>
    </row>
    <row r="393">
      <c r="A393" s="16" t="n"/>
      <c r="B393" s="14" t="n"/>
      <c r="C393" s="8" t="n"/>
      <c r="D393" s="8" t="n"/>
      <c r="E393" s="8" t="n"/>
      <c r="F393" s="8" t="n"/>
      <c r="G393" s="14" t="n"/>
      <c r="H393" s="10">
        <f>IF(A393="","",TEXT(A393,"yyyy-mm"))</f>
        <v/>
      </c>
    </row>
    <row r="394">
      <c r="A394" s="16" t="n"/>
      <c r="B394" s="14" t="n"/>
      <c r="C394" s="8" t="n"/>
      <c r="D394" s="8" t="n"/>
      <c r="E394" s="8" t="n"/>
      <c r="F394" s="8" t="n"/>
      <c r="G394" s="14" t="n"/>
      <c r="H394" s="10">
        <f>IF(A394="","",TEXT(A394,"yyyy-mm"))</f>
        <v/>
      </c>
    </row>
    <row r="395">
      <c r="A395" s="16" t="n"/>
      <c r="B395" s="14" t="n"/>
      <c r="C395" s="8" t="n"/>
      <c r="D395" s="8" t="n"/>
      <c r="E395" s="8" t="n"/>
      <c r="F395" s="8" t="n"/>
      <c r="G395" s="14" t="n"/>
      <c r="H395" s="10">
        <f>IF(A395="","",TEXT(A395,"yyyy-mm"))</f>
        <v/>
      </c>
    </row>
    <row r="396">
      <c r="A396" s="16" t="n"/>
      <c r="B396" s="14" t="n"/>
      <c r="C396" s="8" t="n"/>
      <c r="D396" s="8" t="n"/>
      <c r="E396" s="8" t="n"/>
      <c r="F396" s="8" t="n"/>
      <c r="G396" s="14" t="n"/>
      <c r="H396" s="10">
        <f>IF(A396="","",TEXT(A396,"yyyy-mm"))</f>
        <v/>
      </c>
    </row>
    <row r="397">
      <c r="A397" s="16" t="n"/>
      <c r="B397" s="14" t="n"/>
      <c r="C397" s="8" t="n"/>
      <c r="D397" s="8" t="n"/>
      <c r="E397" s="8" t="n"/>
      <c r="F397" s="8" t="n"/>
      <c r="G397" s="14" t="n"/>
      <c r="H397" s="10">
        <f>IF(A397="","",TEXT(A397,"yyyy-mm"))</f>
        <v/>
      </c>
    </row>
    <row r="398">
      <c r="A398" s="16" t="n"/>
      <c r="B398" s="14" t="n"/>
      <c r="C398" s="8" t="n"/>
      <c r="D398" s="8" t="n"/>
      <c r="E398" s="8" t="n"/>
      <c r="F398" s="8" t="n"/>
      <c r="G398" s="14" t="n"/>
      <c r="H398" s="10">
        <f>IF(A398="","",TEXT(A398,"yyyy-mm"))</f>
        <v/>
      </c>
    </row>
    <row r="399">
      <c r="A399" s="16" t="n"/>
      <c r="B399" s="14" t="n"/>
      <c r="C399" s="8" t="n"/>
      <c r="D399" s="8" t="n"/>
      <c r="E399" s="8" t="n"/>
      <c r="F399" s="8" t="n"/>
      <c r="G399" s="14" t="n"/>
      <c r="H399" s="10">
        <f>IF(A399="","",TEXT(A399,"yyyy-mm"))</f>
        <v/>
      </c>
    </row>
    <row r="400">
      <c r="A400" s="16" t="n"/>
      <c r="B400" s="14" t="n"/>
      <c r="C400" s="8" t="n"/>
      <c r="D400" s="8" t="n"/>
      <c r="E400" s="8" t="n"/>
      <c r="F400" s="8" t="n"/>
      <c r="G400" s="14" t="n"/>
      <c r="H400" s="10">
        <f>IF(A400="","",TEXT(A400,"yyyy-mm"))</f>
        <v/>
      </c>
    </row>
    <row r="401">
      <c r="A401" s="16" t="n"/>
      <c r="B401" s="14" t="n"/>
      <c r="C401" s="8" t="n"/>
      <c r="D401" s="8" t="n"/>
      <c r="E401" s="8" t="n"/>
      <c r="F401" s="8" t="n"/>
      <c r="G401" s="14" t="n"/>
      <c r="H401" s="10">
        <f>IF(A401="","",TEXT(A401,"yyyy-mm"))</f>
        <v/>
      </c>
    </row>
  </sheetData>
  <dataValidations count="1">
    <dataValidation sqref="B2:B401" showDropDown="0" showInputMessage="0" showErrorMessage="0" allowBlank="1" type="list">
      <formula1>"全部,Threads,Instagram,蝦皮影音,YouTube"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4" customWidth="1" min="5" max="5"/>
    <col width="10" customWidth="1" min="6" max="6"/>
    <col width="12" customWidth="1" min="7" max="7"/>
    <col width="20" customWidth="1" min="8" max="8"/>
    <col width="24" customWidth="1" min="9" max="9"/>
    <col width="12" customWidth="1" min="10" max="10"/>
    <col width="12" customWidth="1" min="11" max="11"/>
    <col width="24" customWidth="1" min="12" max="12"/>
  </cols>
  <sheetData>
    <row r="1" ht="28" customHeight="1">
      <c r="A1" s="3" t="inlineStr">
        <is>
          <t>月份</t>
        </is>
      </c>
      <c r="B1" s="3" t="inlineStr">
        <is>
          <t>點擊（自動）</t>
        </is>
      </c>
      <c r="C1" s="3" t="inlineStr">
        <is>
          <t>訂單（自動）</t>
        </is>
      </c>
      <c r="D1" s="3" t="inlineStr">
        <is>
          <t>預估分潤（自動）</t>
        </is>
      </c>
      <c r="E1" s="3" t="inlineStr">
        <is>
          <t>後台對帳金額</t>
        </is>
      </c>
      <c r="F1" s="3" t="inlineStr">
        <is>
          <t>差異</t>
        </is>
      </c>
      <c r="G1" s="3" t="inlineStr">
        <is>
          <t>累積未提領</t>
        </is>
      </c>
      <c r="H1" s="3" t="inlineStr">
        <is>
          <t>可提領？</t>
        </is>
      </c>
      <c r="I1" s="3" t="inlineStr">
        <is>
          <t>營業稅警示</t>
        </is>
      </c>
      <c r="J1" s="3" t="inlineStr">
        <is>
          <t>勞報單已回傳</t>
        </is>
      </c>
      <c r="K1" s="3" t="inlineStr">
        <is>
          <t>入帳日</t>
        </is>
      </c>
      <c r="L1" s="3" t="inlineStr">
        <is>
          <t>備註</t>
        </is>
      </c>
    </row>
    <row r="2">
      <c r="A2" s="10" t="inlineStr">
        <is>
          <t>2026-10</t>
        </is>
      </c>
      <c r="B2" s="5">
        <f>SUMIFS(每日數據!C:C,每日數據!H:H,A2)</f>
        <v/>
      </c>
      <c r="C2" s="5">
        <f>SUMIFS(每日數據!D:D,每日數據!H:H,A2)</f>
        <v/>
      </c>
      <c r="D2" s="5">
        <f>SUMIFS(每日數據!F:F,每日數據!H:H,A2)</f>
        <v/>
      </c>
      <c r="E2" s="8" t="n"/>
      <c r="F2" s="17">
        <f>IF(E2="","",E2-D2)</f>
        <v/>
      </c>
      <c r="G2" s="5">
        <f>IF(E2="","",0+E2-IF(K2="",0,0+E2))</f>
        <v/>
      </c>
      <c r="H2" s="10">
        <f>IF(E2="","",IF(G2&gt;=500,"✅ 可提領","未達 500，累積到下月"))</f>
        <v/>
      </c>
      <c r="I2" s="10">
        <f>IF(E2="","",IF(E2&gt;=50000,"⚠️ 達 5 萬，需轉公司戶",IF(E2&gt;=40000,"接近 5 萬，提前準備","OK")))</f>
        <v/>
      </c>
      <c r="J2" s="14" t="n"/>
      <c r="K2" s="16" t="n"/>
      <c r="L2" s="14" t="n"/>
    </row>
    <row r="3">
      <c r="A3" s="10" t="inlineStr">
        <is>
          <t>2026-11</t>
        </is>
      </c>
      <c r="B3" s="5">
        <f>SUMIFS(每日數據!C:C,每日數據!H:H,A3)</f>
        <v/>
      </c>
      <c r="C3" s="5">
        <f>SUMIFS(每日數據!D:D,每日數據!H:H,A3)</f>
        <v/>
      </c>
      <c r="D3" s="5">
        <f>SUMIFS(每日數據!F:F,每日數據!H:H,A3)</f>
        <v/>
      </c>
      <c r="E3" s="8" t="n"/>
      <c r="F3" s="17">
        <f>IF(E3="","",E3-D3)</f>
        <v/>
      </c>
      <c r="G3" s="5">
        <f>IF(E3="","",N(G2)+E3-IF(K3="",0,N(G2)+E3))</f>
        <v/>
      </c>
      <c r="H3" s="10">
        <f>IF(E3="","",IF(G3&gt;=500,"✅ 可提領","未達 500，累積到下月"))</f>
        <v/>
      </c>
      <c r="I3" s="10">
        <f>IF(E3="","",IF(E3&gt;=50000,"⚠️ 達 5 萬，需轉公司戶",IF(E3&gt;=40000,"接近 5 萬，提前準備","OK")))</f>
        <v/>
      </c>
      <c r="J3" s="14" t="n"/>
      <c r="K3" s="16" t="n"/>
      <c r="L3" s="14" t="n"/>
    </row>
    <row r="4">
      <c r="A4" s="10" t="inlineStr">
        <is>
          <t>2026-12</t>
        </is>
      </c>
      <c r="B4" s="5">
        <f>SUMIFS(每日數據!C:C,每日數據!H:H,A4)</f>
        <v/>
      </c>
      <c r="C4" s="5">
        <f>SUMIFS(每日數據!D:D,每日數據!H:H,A4)</f>
        <v/>
      </c>
      <c r="D4" s="5">
        <f>SUMIFS(每日數據!F:F,每日數據!H:H,A4)</f>
        <v/>
      </c>
      <c r="E4" s="8" t="n"/>
      <c r="F4" s="17">
        <f>IF(E4="","",E4-D4)</f>
        <v/>
      </c>
      <c r="G4" s="5">
        <f>IF(E4="","",N(G3)+E4-IF(K4="",0,N(G3)+E4))</f>
        <v/>
      </c>
      <c r="H4" s="10">
        <f>IF(E4="","",IF(G4&gt;=500,"✅ 可提領","未達 500，累積到下月"))</f>
        <v/>
      </c>
      <c r="I4" s="10">
        <f>IF(E4="","",IF(E4&gt;=50000,"⚠️ 達 5 萬，需轉公司戶",IF(E4&gt;=40000,"接近 5 萬，提前準備","OK")))</f>
        <v/>
      </c>
      <c r="J4" s="14" t="n"/>
      <c r="K4" s="16" t="n"/>
      <c r="L4" s="14" t="n"/>
    </row>
    <row r="5">
      <c r="A5" s="10" t="inlineStr">
        <is>
          <t>2027-01</t>
        </is>
      </c>
      <c r="B5" s="5">
        <f>SUMIFS(每日數據!C:C,每日數據!H:H,A5)</f>
        <v/>
      </c>
      <c r="C5" s="5">
        <f>SUMIFS(每日數據!D:D,每日數據!H:H,A5)</f>
        <v/>
      </c>
      <c r="D5" s="5">
        <f>SUMIFS(每日數據!F:F,每日數據!H:H,A5)</f>
        <v/>
      </c>
      <c r="E5" s="8" t="n"/>
      <c r="F5" s="17">
        <f>IF(E5="","",E5-D5)</f>
        <v/>
      </c>
      <c r="G5" s="5">
        <f>IF(E5="","",N(G4)+E5-IF(K5="",0,N(G4)+E5))</f>
        <v/>
      </c>
      <c r="H5" s="10">
        <f>IF(E5="","",IF(G5&gt;=500,"✅ 可提領","未達 500，累積到下月"))</f>
        <v/>
      </c>
      <c r="I5" s="10">
        <f>IF(E5="","",IF(E5&gt;=50000,"⚠️ 達 5 萬，需轉公司戶",IF(E5&gt;=40000,"接近 5 萬，提前準備","OK")))</f>
        <v/>
      </c>
      <c r="J5" s="14" t="n"/>
      <c r="K5" s="16" t="n"/>
      <c r="L5" s="14" t="n"/>
    </row>
    <row r="6">
      <c r="A6" s="10" t="inlineStr">
        <is>
          <t>2027-02</t>
        </is>
      </c>
      <c r="B6" s="5">
        <f>SUMIFS(每日數據!C:C,每日數據!H:H,A6)</f>
        <v/>
      </c>
      <c r="C6" s="5">
        <f>SUMIFS(每日數據!D:D,每日數據!H:H,A6)</f>
        <v/>
      </c>
      <c r="D6" s="5">
        <f>SUMIFS(每日數據!F:F,每日數據!H:H,A6)</f>
        <v/>
      </c>
      <c r="E6" s="8" t="n"/>
      <c r="F6" s="17">
        <f>IF(E6="","",E6-D6)</f>
        <v/>
      </c>
      <c r="G6" s="5">
        <f>IF(E6="","",N(G5)+E6-IF(K6="",0,N(G5)+E6))</f>
        <v/>
      </c>
      <c r="H6" s="10">
        <f>IF(E6="","",IF(G6&gt;=500,"✅ 可提領","未達 500，累積到下月"))</f>
        <v/>
      </c>
      <c r="I6" s="10">
        <f>IF(E6="","",IF(E6&gt;=50000,"⚠️ 達 5 萬，需轉公司戶",IF(E6&gt;=40000,"接近 5 萬，提前準備","OK")))</f>
        <v/>
      </c>
      <c r="J6" s="14" t="n"/>
      <c r="K6" s="16" t="n"/>
      <c r="L6" s="14" t="n"/>
    </row>
    <row r="7">
      <c r="A7" s="10" t="inlineStr">
        <is>
          <t>2027-03</t>
        </is>
      </c>
      <c r="B7" s="5">
        <f>SUMIFS(每日數據!C:C,每日數據!H:H,A7)</f>
        <v/>
      </c>
      <c r="C7" s="5">
        <f>SUMIFS(每日數據!D:D,每日數據!H:H,A7)</f>
        <v/>
      </c>
      <c r="D7" s="5">
        <f>SUMIFS(每日數據!F:F,每日數據!H:H,A7)</f>
        <v/>
      </c>
      <c r="E7" s="8" t="n"/>
      <c r="F7" s="17">
        <f>IF(E7="","",E7-D7)</f>
        <v/>
      </c>
      <c r="G7" s="5">
        <f>IF(E7="","",N(G6)+E7-IF(K7="",0,N(G6)+E7))</f>
        <v/>
      </c>
      <c r="H7" s="10">
        <f>IF(E7="","",IF(G7&gt;=500,"✅ 可提領","未達 500，累積到下月"))</f>
        <v/>
      </c>
      <c r="I7" s="10">
        <f>IF(E7="","",IF(E7&gt;=50000,"⚠️ 達 5 萬，需轉公司戶",IF(E7&gt;=40000,"接近 5 萬，提前準備","OK")))</f>
        <v/>
      </c>
      <c r="J7" s="14" t="n"/>
      <c r="K7" s="16" t="n"/>
      <c r="L7" s="14" t="n"/>
    </row>
    <row r="8">
      <c r="A8" s="10" t="inlineStr">
        <is>
          <t>2027-04</t>
        </is>
      </c>
      <c r="B8" s="5">
        <f>SUMIFS(每日數據!C:C,每日數據!H:H,A8)</f>
        <v/>
      </c>
      <c r="C8" s="5">
        <f>SUMIFS(每日數據!D:D,每日數據!H:H,A8)</f>
        <v/>
      </c>
      <c r="D8" s="5">
        <f>SUMIFS(每日數據!F:F,每日數據!H:H,A8)</f>
        <v/>
      </c>
      <c r="E8" s="8" t="n"/>
      <c r="F8" s="17">
        <f>IF(E8="","",E8-D8)</f>
        <v/>
      </c>
      <c r="G8" s="5">
        <f>IF(E8="","",N(G7)+E8-IF(K8="",0,N(G7)+E8))</f>
        <v/>
      </c>
      <c r="H8" s="10">
        <f>IF(E8="","",IF(G8&gt;=500,"✅ 可提領","未達 500，累積到下月"))</f>
        <v/>
      </c>
      <c r="I8" s="10">
        <f>IF(E8="","",IF(E8&gt;=50000,"⚠️ 達 5 萬，需轉公司戶",IF(E8&gt;=40000,"接近 5 萬，提前準備","OK")))</f>
        <v/>
      </c>
      <c r="J8" s="14" t="n"/>
      <c r="K8" s="16" t="n"/>
      <c r="L8" s="14" t="n"/>
    </row>
    <row r="9">
      <c r="A9" s="10" t="inlineStr">
        <is>
          <t>2027-05</t>
        </is>
      </c>
      <c r="B9" s="5">
        <f>SUMIFS(每日數據!C:C,每日數據!H:H,A9)</f>
        <v/>
      </c>
      <c r="C9" s="5">
        <f>SUMIFS(每日數據!D:D,每日數據!H:H,A9)</f>
        <v/>
      </c>
      <c r="D9" s="5">
        <f>SUMIFS(每日數據!F:F,每日數據!H:H,A9)</f>
        <v/>
      </c>
      <c r="E9" s="8" t="n"/>
      <c r="F9" s="17">
        <f>IF(E9="","",E9-D9)</f>
        <v/>
      </c>
      <c r="G9" s="5">
        <f>IF(E9="","",N(G8)+E9-IF(K9="",0,N(G8)+E9))</f>
        <v/>
      </c>
      <c r="H9" s="10">
        <f>IF(E9="","",IF(G9&gt;=500,"✅ 可提領","未達 500，累積到下月"))</f>
        <v/>
      </c>
      <c r="I9" s="10">
        <f>IF(E9="","",IF(E9&gt;=50000,"⚠️ 達 5 萬，需轉公司戶",IF(E9&gt;=40000,"接近 5 萬，提前準備","OK")))</f>
        <v/>
      </c>
      <c r="J9" s="14" t="n"/>
      <c r="K9" s="16" t="n"/>
      <c r="L9" s="14" t="n"/>
    </row>
    <row r="10">
      <c r="A10" s="10" t="inlineStr">
        <is>
          <t>2027-06</t>
        </is>
      </c>
      <c r="B10" s="5">
        <f>SUMIFS(每日數據!C:C,每日數據!H:H,A10)</f>
        <v/>
      </c>
      <c r="C10" s="5">
        <f>SUMIFS(每日數據!D:D,每日數據!H:H,A10)</f>
        <v/>
      </c>
      <c r="D10" s="5">
        <f>SUMIFS(每日數據!F:F,每日數據!H:H,A10)</f>
        <v/>
      </c>
      <c r="E10" s="8" t="n"/>
      <c r="F10" s="17">
        <f>IF(E10="","",E10-D10)</f>
        <v/>
      </c>
      <c r="G10" s="5">
        <f>IF(E10="","",N(G9)+E10-IF(K10="",0,N(G9)+E10))</f>
        <v/>
      </c>
      <c r="H10" s="10">
        <f>IF(E10="","",IF(G10&gt;=500,"✅ 可提領","未達 500，累積到下月"))</f>
        <v/>
      </c>
      <c r="I10" s="10">
        <f>IF(E10="","",IF(E10&gt;=50000,"⚠️ 達 5 萬，需轉公司戶",IF(E10&gt;=40000,"接近 5 萬，提前準備","OK")))</f>
        <v/>
      </c>
      <c r="J10" s="14" t="n"/>
      <c r="K10" s="16" t="n"/>
      <c r="L10" s="14" t="n"/>
    </row>
    <row r="11">
      <c r="A11" s="10" t="inlineStr">
        <is>
          <t>2027-07</t>
        </is>
      </c>
      <c r="B11" s="5">
        <f>SUMIFS(每日數據!C:C,每日數據!H:H,A11)</f>
        <v/>
      </c>
      <c r="C11" s="5">
        <f>SUMIFS(每日數據!D:D,每日數據!H:H,A11)</f>
        <v/>
      </c>
      <c r="D11" s="5">
        <f>SUMIFS(每日數據!F:F,每日數據!H:H,A11)</f>
        <v/>
      </c>
      <c r="E11" s="8" t="n"/>
      <c r="F11" s="17">
        <f>IF(E11="","",E11-D11)</f>
        <v/>
      </c>
      <c r="G11" s="5">
        <f>IF(E11="","",N(G10)+E11-IF(K11="",0,N(G10)+E11))</f>
        <v/>
      </c>
      <c r="H11" s="10">
        <f>IF(E11="","",IF(G11&gt;=500,"✅ 可提領","未達 500，累積到下月"))</f>
        <v/>
      </c>
      <c r="I11" s="10">
        <f>IF(E11="","",IF(E11&gt;=50000,"⚠️ 達 5 萬，需轉公司戶",IF(E11&gt;=40000,"接近 5 萬，提前準備","OK")))</f>
        <v/>
      </c>
      <c r="J11" s="14" t="n"/>
      <c r="K11" s="16" t="n"/>
      <c r="L11" s="14" t="n"/>
    </row>
    <row r="12">
      <c r="A12" s="10" t="inlineStr">
        <is>
          <t>2027-08</t>
        </is>
      </c>
      <c r="B12" s="5">
        <f>SUMIFS(每日數據!C:C,每日數據!H:H,A12)</f>
        <v/>
      </c>
      <c r="C12" s="5">
        <f>SUMIFS(每日數據!D:D,每日數據!H:H,A12)</f>
        <v/>
      </c>
      <c r="D12" s="5">
        <f>SUMIFS(每日數據!F:F,每日數據!H:H,A12)</f>
        <v/>
      </c>
      <c r="E12" s="8" t="n"/>
      <c r="F12" s="17">
        <f>IF(E12="","",E12-D12)</f>
        <v/>
      </c>
      <c r="G12" s="5">
        <f>IF(E12="","",N(G11)+E12-IF(K12="",0,N(G11)+E12))</f>
        <v/>
      </c>
      <c r="H12" s="10">
        <f>IF(E12="","",IF(G12&gt;=500,"✅ 可提領","未達 500，累積到下月"))</f>
        <v/>
      </c>
      <c r="I12" s="10">
        <f>IF(E12="","",IF(E12&gt;=50000,"⚠️ 達 5 萬，需轉公司戶",IF(E12&gt;=40000,"接近 5 萬，提前準備","OK")))</f>
        <v/>
      </c>
      <c r="J12" s="14" t="n"/>
      <c r="K12" s="16" t="n"/>
      <c r="L12" s="14" t="n"/>
    </row>
    <row r="13">
      <c r="A13" s="10" t="inlineStr">
        <is>
          <t>2027-09</t>
        </is>
      </c>
      <c r="B13" s="5">
        <f>SUMIFS(每日數據!C:C,每日數據!H:H,A13)</f>
        <v/>
      </c>
      <c r="C13" s="5">
        <f>SUMIFS(每日數據!D:D,每日數據!H:H,A13)</f>
        <v/>
      </c>
      <c r="D13" s="5">
        <f>SUMIFS(每日數據!F:F,每日數據!H:H,A13)</f>
        <v/>
      </c>
      <c r="E13" s="8" t="n"/>
      <c r="F13" s="17">
        <f>IF(E13="","",E13-D13)</f>
        <v/>
      </c>
      <c r="G13" s="5">
        <f>IF(E13="","",N(G12)+E13-IF(K13="",0,N(G12)+E13))</f>
        <v/>
      </c>
      <c r="H13" s="10">
        <f>IF(E13="","",IF(G13&gt;=500,"✅ 可提領","未達 500，累積到下月"))</f>
        <v/>
      </c>
      <c r="I13" s="10">
        <f>IF(E13="","",IF(E13&gt;=50000,"⚠️ 達 5 萬，需轉公司戶",IF(E13&gt;=40000,"接近 5 萬，提前準備","OK")))</f>
        <v/>
      </c>
      <c r="J13" s="14" t="n"/>
      <c r="K13" s="16" t="n"/>
      <c r="L13" s="14" t="n"/>
    </row>
    <row r="14">
      <c r="A14" s="10" t="inlineStr">
        <is>
          <t>2027-10</t>
        </is>
      </c>
      <c r="B14" s="5">
        <f>SUMIFS(每日數據!C:C,每日數據!H:H,A14)</f>
        <v/>
      </c>
      <c r="C14" s="5">
        <f>SUMIFS(每日數據!D:D,每日數據!H:H,A14)</f>
        <v/>
      </c>
      <c r="D14" s="5">
        <f>SUMIFS(每日數據!F:F,每日數據!H:H,A14)</f>
        <v/>
      </c>
      <c r="E14" s="8" t="n"/>
      <c r="F14" s="17">
        <f>IF(E14="","",E14-D14)</f>
        <v/>
      </c>
      <c r="G14" s="5">
        <f>IF(E14="","",N(G13)+E14-IF(K14="",0,N(G13)+E14))</f>
        <v/>
      </c>
      <c r="H14" s="10">
        <f>IF(E14="","",IF(G14&gt;=500,"✅ 可提領","未達 500，累積到下月"))</f>
        <v/>
      </c>
      <c r="I14" s="10">
        <f>IF(E14="","",IF(E14&gt;=50000,"⚠️ 達 5 萬，需轉公司戶",IF(E14&gt;=40000,"接近 5 萬，提前準備","OK")))</f>
        <v/>
      </c>
      <c r="J14" s="14" t="n"/>
      <c r="K14" s="16" t="n"/>
      <c r="L14" s="14" t="n"/>
    </row>
    <row r="15">
      <c r="A15" s="10" t="inlineStr">
        <is>
          <t>2027-11</t>
        </is>
      </c>
      <c r="B15" s="5">
        <f>SUMIFS(每日數據!C:C,每日數據!H:H,A15)</f>
        <v/>
      </c>
      <c r="C15" s="5">
        <f>SUMIFS(每日數據!D:D,每日數據!H:H,A15)</f>
        <v/>
      </c>
      <c r="D15" s="5">
        <f>SUMIFS(每日數據!F:F,每日數據!H:H,A15)</f>
        <v/>
      </c>
      <c r="E15" s="8" t="n"/>
      <c r="F15" s="17">
        <f>IF(E15="","",E15-D15)</f>
        <v/>
      </c>
      <c r="G15" s="5">
        <f>IF(E15="","",N(G14)+E15-IF(K15="",0,N(G14)+E15))</f>
        <v/>
      </c>
      <c r="H15" s="10">
        <f>IF(E15="","",IF(G15&gt;=500,"✅ 可提領","未達 500，累積到下月"))</f>
        <v/>
      </c>
      <c r="I15" s="10">
        <f>IF(E15="","",IF(E15&gt;=50000,"⚠️ 達 5 萬，需轉公司戶",IF(E15&gt;=40000,"接近 5 萬，提前準備","OK")))</f>
        <v/>
      </c>
      <c r="J15" s="14" t="n"/>
      <c r="K15" s="16" t="n"/>
      <c r="L15" s="14" t="n"/>
    </row>
    <row r="16">
      <c r="A16" s="10" t="inlineStr">
        <is>
          <t>2027-12</t>
        </is>
      </c>
      <c r="B16" s="5">
        <f>SUMIFS(每日數據!C:C,每日數據!H:H,A16)</f>
        <v/>
      </c>
      <c r="C16" s="5">
        <f>SUMIFS(每日數據!D:D,每日數據!H:H,A16)</f>
        <v/>
      </c>
      <c r="D16" s="5">
        <f>SUMIFS(每日數據!F:F,每日數據!H:H,A16)</f>
        <v/>
      </c>
      <c r="E16" s="8" t="n"/>
      <c r="F16" s="17">
        <f>IF(E16="","",E16-D16)</f>
        <v/>
      </c>
      <c r="G16" s="5">
        <f>IF(E16="","",N(G15)+E16-IF(K16="",0,N(G15)+E16))</f>
        <v/>
      </c>
      <c r="H16" s="10">
        <f>IF(E16="","",IF(G16&gt;=500,"✅ 可提領","未達 500，累積到下月"))</f>
        <v/>
      </c>
      <c r="I16" s="10">
        <f>IF(E16="","",IF(E16&gt;=50000,"⚠️ 達 5 萬，需轉公司戶",IF(E16&gt;=40000,"接近 5 萬，提前準備","OK")))</f>
        <v/>
      </c>
      <c r="J16" s="14" t="n"/>
      <c r="K16" s="16" t="n"/>
      <c r="L16" s="14" t="n"/>
    </row>
    <row r="17">
      <c r="A17" s="10" t="inlineStr">
        <is>
          <t>2028-01</t>
        </is>
      </c>
      <c r="B17" s="5">
        <f>SUMIFS(每日數據!C:C,每日數據!H:H,A17)</f>
        <v/>
      </c>
      <c r="C17" s="5">
        <f>SUMIFS(每日數據!D:D,每日數據!H:H,A17)</f>
        <v/>
      </c>
      <c r="D17" s="5">
        <f>SUMIFS(每日數據!F:F,每日數據!H:H,A17)</f>
        <v/>
      </c>
      <c r="E17" s="8" t="n"/>
      <c r="F17" s="17">
        <f>IF(E17="","",E17-D17)</f>
        <v/>
      </c>
      <c r="G17" s="5">
        <f>IF(E17="","",N(G16)+E17-IF(K17="",0,N(G16)+E17))</f>
        <v/>
      </c>
      <c r="H17" s="10">
        <f>IF(E17="","",IF(G17&gt;=500,"✅ 可提領","未達 500，累積到下月"))</f>
        <v/>
      </c>
      <c r="I17" s="10">
        <f>IF(E17="","",IF(E17&gt;=50000,"⚠️ 達 5 萬，需轉公司戶",IF(E17&gt;=40000,"接近 5 萬，提前準備","OK")))</f>
        <v/>
      </c>
      <c r="J17" s="14" t="n"/>
      <c r="K17" s="16" t="n"/>
      <c r="L17" s="14" t="n"/>
    </row>
    <row r="18">
      <c r="A18" s="10" t="inlineStr">
        <is>
          <t>2028-02</t>
        </is>
      </c>
      <c r="B18" s="5">
        <f>SUMIFS(每日數據!C:C,每日數據!H:H,A18)</f>
        <v/>
      </c>
      <c r="C18" s="5">
        <f>SUMIFS(每日數據!D:D,每日數據!H:H,A18)</f>
        <v/>
      </c>
      <c r="D18" s="5">
        <f>SUMIFS(每日數據!F:F,每日數據!H:H,A18)</f>
        <v/>
      </c>
      <c r="E18" s="8" t="n"/>
      <c r="F18" s="17">
        <f>IF(E18="","",E18-D18)</f>
        <v/>
      </c>
      <c r="G18" s="5">
        <f>IF(E18="","",N(G17)+E18-IF(K18="",0,N(G17)+E18))</f>
        <v/>
      </c>
      <c r="H18" s="10">
        <f>IF(E18="","",IF(G18&gt;=500,"✅ 可提領","未達 500，累積到下月"))</f>
        <v/>
      </c>
      <c r="I18" s="10">
        <f>IF(E18="","",IF(E18&gt;=50000,"⚠️ 達 5 萬，需轉公司戶",IF(E18&gt;=40000,"接近 5 萬，提前準備","OK")))</f>
        <v/>
      </c>
      <c r="J18" s="14" t="n"/>
      <c r="K18" s="16" t="n"/>
      <c r="L18" s="14" t="n"/>
    </row>
    <row r="19">
      <c r="A19" s="10" t="inlineStr">
        <is>
          <t>2028-03</t>
        </is>
      </c>
      <c r="B19" s="5">
        <f>SUMIFS(每日數據!C:C,每日數據!H:H,A19)</f>
        <v/>
      </c>
      <c r="C19" s="5">
        <f>SUMIFS(每日數據!D:D,每日數據!H:H,A19)</f>
        <v/>
      </c>
      <c r="D19" s="5">
        <f>SUMIFS(每日數據!F:F,每日數據!H:H,A19)</f>
        <v/>
      </c>
      <c r="E19" s="8" t="n"/>
      <c r="F19" s="17">
        <f>IF(E19="","",E19-D19)</f>
        <v/>
      </c>
      <c r="G19" s="5">
        <f>IF(E19="","",N(G18)+E19-IF(K19="",0,N(G18)+E19))</f>
        <v/>
      </c>
      <c r="H19" s="10">
        <f>IF(E19="","",IF(G19&gt;=500,"✅ 可提領","未達 500，累積到下月"))</f>
        <v/>
      </c>
      <c r="I19" s="10">
        <f>IF(E19="","",IF(E19&gt;=50000,"⚠️ 達 5 萬，需轉公司戶",IF(E19&gt;=40000,"接近 5 萬，提前準備","OK")))</f>
        <v/>
      </c>
      <c r="J19" s="14" t="n"/>
      <c r="K19" s="16" t="n"/>
      <c r="L19" s="14" t="n"/>
    </row>
    <row r="21">
      <c r="A21" s="13" t="inlineStr">
        <is>
          <t>「累積未提領」邏輯：加上本月後台金額；當「入帳日」填入時視為已提領、歸零。「營業稅警示」依單月後台金額判斷。</t>
        </is>
      </c>
    </row>
  </sheetData>
  <conditionalFormatting sqref="I2:I19">
    <cfRule type="expression" priority="1" dxfId="1">
      <formula>LEFT(I2,1)="⚠"</formula>
    </cfRule>
    <cfRule type="expression" priority="2" dxfId="2">
      <formula>LEFT(I2,2)="接近"</formula>
    </cfRule>
  </conditionalFormatting>
  <conditionalFormatting sqref="H2:H19">
    <cfRule type="expression" priority="3" dxfId="0">
      <formula>LEFT(H2,1)="✅"</formula>
    </cfRule>
  </conditionalFormatting>
  <dataValidations count="1">
    <dataValidation sqref="J2:J1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6" customWidth="1" min="5" max="5"/>
  </cols>
  <sheetData>
    <row r="1">
      <c r="A1" s="1" t="inlineStr">
        <is>
          <t>收入模型（改黃色格子，其他自動算）</t>
        </is>
      </c>
    </row>
    <row r="3" ht="28" customHeight="1">
      <c r="A3" s="3" t="inlineStr">
        <is>
          <t>假設</t>
        </is>
      </c>
      <c r="B3" s="3" t="inlineStr">
        <is>
          <t>保守</t>
        </is>
      </c>
      <c r="C3" s="3" t="inlineStr">
        <is>
          <t>基準</t>
        </is>
      </c>
      <c r="D3" s="3" t="inlineStr">
        <is>
          <t>積極</t>
        </is>
      </c>
      <c r="E3" s="3" t="inlineStr">
        <is>
          <t>說明</t>
        </is>
      </c>
    </row>
    <row r="4">
      <c r="A4" s="4" t="inlineStr">
        <is>
          <t>每月貼文數</t>
        </is>
      </c>
      <c r="B4" s="8" t="n">
        <v>45</v>
      </c>
      <c r="C4" s="8" t="n">
        <v>60</v>
      </c>
      <c r="D4" s="8" t="n">
        <v>90</v>
      </c>
      <c r="E4" s="6" t="inlineStr">
        <is>
          <t>Threads 2 篇/天 ≈ 60</t>
        </is>
      </c>
    </row>
    <row r="5">
      <c r="A5" s="4" t="inlineStr">
        <is>
          <t>平均每篇觸及</t>
        </is>
      </c>
      <c r="B5" s="8" t="n">
        <v>400</v>
      </c>
      <c r="C5" s="8" t="n">
        <v>800</v>
      </c>
      <c r="D5" s="8" t="n">
        <v>1800</v>
      </c>
      <c r="E5" s="6" t="inlineStr">
        <is>
          <t>新帳號前 30 篇通常 100-500</t>
        </is>
      </c>
    </row>
    <row r="6">
      <c r="A6" s="4" t="inlineStr">
        <is>
          <t>連結點擊率</t>
        </is>
      </c>
      <c r="B6" s="15" t="n">
        <v>0.015</v>
      </c>
      <c r="C6" s="15" t="n">
        <v>0.025</v>
      </c>
      <c r="D6" s="15" t="n">
        <v>0.035</v>
      </c>
      <c r="E6" s="6" t="inlineStr">
        <is>
          <t>留言區連結 1-4%</t>
        </is>
      </c>
    </row>
    <row r="7">
      <c r="A7" s="4" t="inlineStr">
        <is>
          <t>7 天內轉換率</t>
        </is>
      </c>
      <c r="B7" s="15" t="n">
        <v>0.02</v>
      </c>
      <c r="C7" s="15" t="n">
        <v>0.03</v>
      </c>
      <c r="D7" s="15" t="n">
        <v>0.04</v>
      </c>
      <c r="E7" s="6" t="inlineStr">
        <is>
          <t>點了連結後下單的比例</t>
        </is>
      </c>
    </row>
    <row r="8">
      <c r="A8" s="4" t="inlineStr">
        <is>
          <t>平均訂單金額</t>
        </is>
      </c>
      <c r="B8" s="8" t="n">
        <v>450</v>
      </c>
      <c r="C8" s="8" t="n">
        <v>550</v>
      </c>
      <c r="D8" s="8" t="n">
        <v>650</v>
      </c>
      <c r="E8" s="6" t="inlineStr">
        <is>
          <t>一張訂單整筆都算分潤</t>
        </is>
      </c>
    </row>
    <row r="9">
      <c r="A9" s="4" t="inlineStr">
        <is>
          <t>平均分潤率</t>
        </is>
      </c>
      <c r="B9" s="15" t="n">
        <v>0.015</v>
      </c>
      <c r="C9" s="15" t="n">
        <v>0.03</v>
      </c>
      <c r="D9" s="15" t="n">
        <v>0.04</v>
      </c>
      <c r="E9" s="6" t="inlineStr">
        <is>
          <t>一般 1%、萬粉 5%、加碼 10%</t>
        </is>
      </c>
    </row>
    <row r="10">
      <c r="A10" s="4" t="inlineStr">
        <is>
          <t>單筆分潤上限</t>
        </is>
      </c>
      <c r="B10" s="8" t="n">
        <v>500</v>
      </c>
      <c r="C10" s="8" t="n">
        <v>500</v>
      </c>
      <c r="D10" s="8" t="n">
        <v>500</v>
      </c>
      <c r="E10" s="6" t="inlineStr">
        <is>
          <t>蝦皮規定；YouTube 訂單 800</t>
        </is>
      </c>
    </row>
    <row r="11">
      <c r="A11" s="4" t="inlineStr">
        <is>
          <t>月點擊</t>
        </is>
      </c>
      <c r="B11" s="5">
        <f>B4*B5*B6</f>
        <v/>
      </c>
      <c r="C11" s="5">
        <f>C4*C5*C6</f>
        <v/>
      </c>
      <c r="D11" s="5">
        <f>D4*D5*D6</f>
        <v/>
      </c>
      <c r="E11" s="6" t="inlineStr"/>
    </row>
    <row r="12">
      <c r="A12" s="4" t="inlineStr">
        <is>
          <t>月訂單</t>
        </is>
      </c>
      <c r="B12" s="18">
        <f>B11*B7</f>
        <v/>
      </c>
      <c r="C12" s="18">
        <f>C11*C7</f>
        <v/>
      </c>
      <c r="D12" s="18">
        <f>D11*D7</f>
        <v/>
      </c>
      <c r="E12" s="6" t="inlineStr"/>
    </row>
    <row r="13">
      <c r="A13" s="4" t="inlineStr">
        <is>
          <t>每單分潤</t>
        </is>
      </c>
      <c r="B13" s="5">
        <f>MIN(B8*B9,B10)</f>
        <v/>
      </c>
      <c r="C13" s="5">
        <f>MIN(C8*C9,C10)</f>
        <v/>
      </c>
      <c r="D13" s="5">
        <f>MIN(D8*D9,D10)</f>
        <v/>
      </c>
      <c r="E13" s="6" t="inlineStr"/>
    </row>
    <row r="14">
      <c r="A14" s="4" t="inlineStr">
        <is>
          <t>月分潤</t>
        </is>
      </c>
      <c r="B14" s="19">
        <f>B12*B13</f>
        <v/>
      </c>
      <c r="C14" s="19">
        <f>C12*C13</f>
        <v/>
      </c>
      <c r="D14" s="19">
        <f>D12*D13</f>
        <v/>
      </c>
      <c r="E14" s="6" t="inlineStr"/>
    </row>
    <row r="15">
      <c r="A15" s="4" t="inlineStr">
        <is>
          <t>投入時數（每篇 0.5h）</t>
        </is>
      </c>
      <c r="B15" s="5">
        <f>B4*0.5</f>
        <v/>
      </c>
      <c r="C15" s="5">
        <f>C4*0.5</f>
        <v/>
      </c>
      <c r="D15" s="5">
        <f>D4*0.5</f>
        <v/>
      </c>
      <c r="E15" s="6" t="inlineStr"/>
    </row>
    <row r="16">
      <c r="A16" s="4" t="inlineStr">
        <is>
          <t>時薪</t>
        </is>
      </c>
      <c r="B16" s="5">
        <f>IF(B15=0,0,B14/B15)</f>
        <v/>
      </c>
      <c r="C16" s="5">
        <f>IF(C15=0,0,C14/C15)</f>
        <v/>
      </c>
      <c r="D16" s="5">
        <f>IF(D15=0,0,D14/D15)</f>
        <v/>
      </c>
      <c r="E16" s="6" t="inlineStr"/>
    </row>
    <row r="18">
      <c r="A18" s="4" t="inlineStr">
        <is>
          <t>目標（來自 config）</t>
        </is>
      </c>
    </row>
    <row r="19">
      <c r="A19" s="6" t="inlineStr">
        <is>
          <t>第 1 個月</t>
        </is>
      </c>
      <c r="B19" s="8" t="n">
        <v>500</v>
      </c>
      <c r="C19" s="10">
        <f>IF(B19=0,"",TEXT(C14/B19,"0%")&amp;" （基準情境達成率）")</f>
        <v/>
      </c>
    </row>
    <row r="20">
      <c r="A20" s="6" t="inlineStr">
        <is>
          <t>第 3 個月</t>
        </is>
      </c>
      <c r="B20" s="8" t="n">
        <v>5000</v>
      </c>
      <c r="C20" s="10">
        <f>IF(B20=0,"",TEXT(C14/B20,"0%")&amp;" （基準情境達成率）")</f>
        <v/>
      </c>
    </row>
    <row r="21">
      <c r="A21" s="6" t="inlineStr">
        <is>
          <t>第 6 個月</t>
        </is>
      </c>
      <c r="B21" s="8" t="n">
        <v>20000</v>
      </c>
      <c r="C21" s="10">
        <f>IF(B21=0,"",TEXT(C14/B21,"0%")&amp;" （基準情境達成率）")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2026-10-02T21:21:41Z</dcterms:created>
  <dcterms:modified xsi:type="dcterms:W3CDTF">2026-10-02T21:21:41Z</dcterms:modified>
</cp:coreProperties>
</file>